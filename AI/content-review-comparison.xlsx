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rison" sheetId="1" r:id="rId5"/>
    <sheet state="visible" name="Summary" sheetId="2" r:id="rId6"/>
  </sheets>
  <definedNames>
    <definedName hidden="1" localSheetId="0" name="_xlnm._FilterDatabase">Comparison!$A$1:$J$179</definedName>
  </definedNames>
  <calcPr/>
</workbook>
</file>

<file path=xl/sharedStrings.xml><?xml version="1.0" encoding="utf-8"?>
<sst xmlns="http://schemas.openxmlformats.org/spreadsheetml/2006/main" count="1689" uniqueCount="1028">
  <si>
    <t>Page / עמוד</t>
  </si>
  <si>
    <t>Section / אזור באתר</t>
  </si>
  <si>
    <t>Language / שפה</t>
  </si>
  <si>
    <t>Current Text / הטקסט הקיים</t>
  </si>
  <si>
    <t>Problem / הבעיה</t>
  </si>
  <si>
    <t>Suggested Text / טקסט מוצע</t>
  </si>
  <si>
    <t>Reason / למה ההצעה טובה יותר</t>
  </si>
  <si>
    <t>Tone / אופי הטקסט</t>
  </si>
  <si>
    <t>Priority / עדיפות</t>
  </si>
  <si>
    <t>Notes / הערות</t>
  </si>
  <si>
    <t>index.html (דף הבית)</t>
  </si>
  <si>
    <t>Hero - כותרת ראשית H1</t>
  </si>
  <si>
    <t>HE</t>
  </si>
  <si>
    <t>ליווי משפטי מקצועי ומאובטח לעסקת הנדל״ן שלך</t>
  </si>
  <si>
    <t>"מאובטח" היא מילה מעולם אבטחת המידע, לא מעולם המשפט. נשמע כתרגום מכונה של Secure. עברית לא טבעית בכותרת החשובה ביותר באתר.</t>
  </si>
  <si>
    <t>ליווי משפטי אישי ומדויק לעסקת הנדל״ן שלך</t>
  </si>
  <si>
    <t>"אישי ומדויק" משקף את הבידול האמיתי של משרד בוטיק, בעברית טבעית, בלי ז'רגון טכני.</t>
  </si>
  <si>
    <t>Professional, Human, Israeli-local</t>
  </si>
  <si>
    <t>High</t>
  </si>
  <si>
    <t>חלופה: "ליווי משפטי שמגן על עסקת הנדל״ן שלך"</t>
  </si>
  <si>
    <t>Meta description</t>
  </si>
  <si>
    <t>משרד עורך דין נדל״ן אלירם אלגרבלי מעניק ליווי משפטי יוקרתי ומקצועי לעסקאות מכר...</t>
  </si>
  <si>
    <t>"ליווי משפטי יוקרתי" - שירות משפטי אינו "יוקרתי", זה שיווק ריק שאף לקוח לא מחפש בגוגל.</t>
  </si>
  <si>
    <t>עו״ד אלירם אלגרבלי - ליווי אישי בעסקאות נדל״ן: ייצוג בקנייה ומכירה, רכישה מקבלן, התחדשות עירונית ומיסוי מקרקעין</t>
  </si>
  <si>
    <t>מדויק, כולל מילות חיפוש אמיתיות, בלי סופרלטיבים.</t>
  </si>
  <si>
    <t>Professional, Clear</t>
  </si>
  <si>
    <t>SEO: ה-meta הוא הטקסט שמופיע בגוגל</t>
  </si>
  <si>
    <t>אודות - פסקה</t>
  </si>
  <si>
    <t>אנו ניגשים לכל תיק באחריות עליונה ובמקצועיות חסרת פשרות, תוך ביצוע בדיקות מקדמיות קפדניות להסרת סיכונים פוטנציאליים מבעוד מועד</t>
  </si>
  <si>
    <t>"אחריות עליונה", "מקצועיות חסרת פשרות" - צירופים נפוחים שכל אתר AI משתמש בהם. לא אומרים ללקוח כלום.</t>
  </si>
  <si>
    <t>לפני כל חתימה אנחנו בודקים את הנכס לעומק - רישום, תכנון, מיסוי ושעבודים - כדי שתדעו בדיוק מה אתם קונים ובאילו תנאים.</t>
  </si>
  <si>
    <t>מחליף הצהרות על עצמנו בתיאור קונקרטי של מה שהלקוח מקבל.</t>
  </si>
  <si>
    <t>Human, Clear, Professional</t>
  </si>
  <si>
    <t>כרטיסי מאמרים - שיוך קטגוריות</t>
  </si>
  <si>
    <t>"הסכם מייסדים..." מסומן כ"עסקאות יד שנייה"; "הסכם שכירות מסחרית..." מסומן כ"רכישה מקבלן"</t>
  </si>
  <si>
    <t>שיוך קטגוריות שגוי בכרטיסי המאמרים בדף הבית. פוגע באמינות ובניווט.</t>
  </si>
  <si>
    <t>הסכם מייסדים → "רישום חברות ועמותות"; הסכם שכירות מסחרית → "נדל״ן מסחרי"</t>
  </si>
  <si>
    <t>התאמה בין תוכן המאמר לקטגוריה.</t>
  </si>
  <si>
    <t>Clear</t>
  </si>
  <si>
    <t>חוזר גם בעמוד המאמרים ובעמודי התחומים</t>
  </si>
  <si>
    <t>index.html + 6 עמודים נוספים</t>
  </si>
  <si>
    <t>כרטיס מאמר תמ"א 38 - תקציר</t>
  </si>
  <si>
    <t>קריטריונים לבחינת חוסן פיננסי וניסיון, והדרך הנכונה להשוות בין הצעות מעבר ל</t>
  </si>
  <si>
    <t>המשפט נקטע באמצע ("מעבר ל...") ומופיע כך ב-7 קבצים שונים, כולל ב-meta description של המאמר עצמו.</t>
  </si>
  <si>
    <t>קריטריונים לבחינת חוסן פיננסי וניסיון, והדרך הנכונה להשוות בין הצעות - מעבר למספר שכתוב בשורה התחתונה.</t>
  </si>
  <si>
    <t>משלים את המשפט הקטוע.</t>
  </si>
  <si>
    <t>מופיע ב: index, articles/index, tma-38 (meta), en/index, en/articles, practice/urban-renewal (HE+EN)</t>
  </si>
  <si>
    <t>index.html + en/index.html</t>
  </si>
  <si>
    <t>פס נתונים (Stats)</t>
  </si>
  <si>
    <t>מליוני ש"ח מס שנחסכו</t>
  </si>
  <si>
    <t>שגיאת כתיב: "מליוני" במקום "מיליוני". בנוסף, הצהרה על חיסכון מס שאינה ניתנת לאימות בעייתית מול כללי האתיקה של לשכת עורכי הדין (פרסומת).</t>
  </si>
  <si>
    <t>מיליוני ₪ בעסקאות שלוו בהצלחה</t>
  </si>
  <si>
    <t>מתקן את שגיאת הכתיב ומחליף הבטחת תוצאה בנתון תיאורי ניטרלי.</t>
  </si>
  <si>
    <t>Professional, Legal</t>
  </si>
  <si>
    <t>מומלץ לוודא שכל נתוני הפס (מס׳ עסקאות וכו׳) ניתנים לביסוס</t>
  </si>
  <si>
    <t>מחויבות משפטית מלאה / Client Dedication Rate</t>
  </si>
  <si>
    <t>"מדד מסירות לקוחות" הוא מדד מומצא שנשמע AI. מונה שמגיע ל-100% עבור "מחויבות" מרוקן את אמינות שאר המספרים.</t>
  </si>
  <si>
    <t>כל תיק מטופל אישית על ידי עו״ד אלגרבלי</t>
  </si>
  <si>
    <t>מחליף סטטיסטיקה מזויפת בעובדה אמיתית ומבודלת על המשרד.</t>
  </si>
  <si>
    <t>Human, Professional</t>
  </si>
  <si>
    <t>EN: "Every file handled personally" במקום "Client Dedication Rate"</t>
  </si>
  <si>
    <t>index.html + כל האתר</t>
  </si>
  <si>
    <t>פרטי קשר - דוא"ל</t>
  </si>
  <si>
    <t>office@madrich.co.il</t>
  </si>
  <si>
    <t>כתובת הדוא"ל בכל האתר היא בדומיין madrich.co.il שאינו קשור למותג המשרד, בעוד שרשימת ההשקה (AI/launch-checklist.md) מגדירה את law@eliram.net כיעד הטופס. חוסר עקביות שפוגע באמון.</t>
  </si>
  <si>
    <t>לאחד לכתובת אחת ממותגת (למשל law@eliram.net או office@elgarably-law.co.il) בכל העמודים, בטופס ובהצהרת הנגישות.</t>
  </si>
  <si>
    <t>כתובת בדומיין של המשרד משדרת אמינות; כתובת זרה מעוררת חשד.</t>
  </si>
  <si>
    <t>Professional</t>
  </si>
  <si>
    <t>דורש החלטה שלך - לא שונה דבר</t>
  </si>
  <si>
    <t>אודות - כרטיס יתרון</t>
  </si>
  <si>
    <t>מקצועיות וניסיון עשיר / Rich Experience &amp; Expertise</t>
  </si>
  <si>
    <t>"ניסיון עשיר" קלישאה; באנגלית "Rich Experience" הוא תרגום מילולי שלא אומרים בארה"ב.</t>
  </si>
  <si>
    <t>ניסיון מוכח מאז 2013 | EN: Proven Track Record Since 2013</t>
  </si>
  <si>
    <t>שנה קונקרטית במקום שם תואר ריק.</t>
  </si>
  <si>
    <t>Medium</t>
  </si>
  <si>
    <t>תג מדור מאמרים</t>
  </si>
  <si>
    <t>ידע משפטי שווה זהב</t>
  </si>
  <si>
    <t>קלישאה שיווקית. גם לא מתיישבת עם הטון הרציני של שאר העמוד.</t>
  </si>
  <si>
    <t>מדריכים ועדכונים מהמשרד</t>
  </si>
  <si>
    <t>ענייני ומכבד את הקורא.</t>
  </si>
  <si>
    <t>צור קשר - eyebrow + פסקה</t>
  </si>
  <si>
    <t>שאלות? זקוק לייעוץ? ... משרדנו ישמח לעמוד לרשותכם וללוות אתכם במקצועיות ובביטחון מלא בעסקת הנדל״ן שלכם</t>
  </si>
  <si>
    <t>"זקוק" - פנייה בלשון זכר יחיד בעוד שאר העמוד בלשון רבים ("צרו קשר", "לרשותכם"). "בביטחון מלא" - הבטחה ריקה.</t>
  </si>
  <si>
    <t>יש לכם שאלה? נשמח לעזור. ספרו לנו בקצרה על העסקה או הנושא, ועו״ד אלגרבלי יחזור אליכם באופן אישי תוך יום עסקים.</t>
  </si>
  <si>
    <t>אחידות לשונית, הבטחה קונקרטית (זמן תגובה) במקום סופרלטיב.</t>
  </si>
  <si>
    <t>Warm, Human, Professional</t>
  </si>
  <si>
    <t>אם התחייבות ליום עסקים לא מתאימה - לנסח "בהקדם"</t>
  </si>
  <si>
    <t>index.html (טופס)</t>
  </si>
  <si>
    <t>שדה הודעה - label</t>
  </si>
  <si>
    <t>כיצד נוכל לעזור לך? *</t>
  </si>
  <si>
    <t>"לך" יחיד מול "צרו קשר" רבים באותו מסך - חוסר אחידות שמרגיש לא ערוך.</t>
  </si>
  <si>
    <t>איך נוכל לעזור? *</t>
  </si>
  <si>
    <t>ניסוח ניטרלי שעוקף את בעיית המגדר והמספר.</t>
  </si>
  <si>
    <t>Clear, Human</t>
  </si>
  <si>
    <t>index.html (פוטר) + אודות</t>
  </si>
  <si>
    <t>תיאור המשרד</t>
  </si>
  <si>
    <t>משרד עורכי דין המתמחה באופן ייחודי במשפטי נדל"ן ומקרקעין... / A boutique law firm specializing exclusively in Israeli real estate...</t>
  </si>
  <si>
    <t>"מתמחה באופן ייחודי" - תרגום מילולי של exclusively, לא עברית טבעית. וגם לא מדויק: האתר מציע גם צוואות, ייפוי כוח מתמשך ורישום חברות. "משפטי נדל"ן" - צורם; אומרים "דיני נדל"ן".</t>
  </si>
  <si>
    <t>משרד בוטיק לדיני מקרקעין ונדל"ן, המלווה גם בצוואות וירושות, ייפוי כוח מתמשך ורישום חברות. יחס אישי לכל לקוח מאז 2013.</t>
  </si>
  <si>
    <t>מדויק לגבי תחומי העיסוק בפועל ובעברית טבעית.</t>
  </si>
  <si>
    <t>Professional, Israeli-local</t>
  </si>
  <si>
    <t>EN: להחליף "exclusively" ב-"focused on"</t>
  </si>
  <si>
    <t>js/main.js (מיקרוקופי)</t>
  </si>
  <si>
    <t>הודעת הצלחה בטופס</t>
  </si>
  <si>
    <t>ההודעה נשלחה בהצלחה! תודה, עו״ד אלגרבלי יחזור אליך בהקדם האפשרי.</t>
  </si>
  <si>
    <t>"אליך" שוב יחיד; סימן קריאה לא נחוץ; "בהקדם האפשרי" גנרי.</t>
  </si>
  <si>
    <t>תודה על פנייתכם. צוות המשרד יחזור אליכם אישית תוך יום עסקים.</t>
  </si>
  <si>
    <t>אחידות, ציפייה ברורה, טון אישי.</t>
  </si>
  <si>
    <t>Warm, Professional</t>
  </si>
  <si>
    <t>EN מקביל: "Thank you. Adv. Elgarably will personally get back to you within one business day."</t>
  </si>
  <si>
    <t>en/index.html (Homepage)</t>
  </si>
  <si>
    <t>Hero - H1</t>
  </si>
  <si>
    <t>EN</t>
  </si>
  <si>
    <t>Professional &amp; Secure Legal Guidance for Your Property Deals</t>
  </si>
  <si>
    <t>"Secure Legal Guidance" is awkward; "Property Deals" sounds casual, almost like a discount site. Reads machine-generated.</t>
  </si>
  <si>
    <t>Trusted Legal Counsel for Your Real Estate Transaction in Israel</t>
  </si>
  <si>
    <t>"Trusted counsel" is the natural register of a US-facing law firm; naming Israel immediately orients American visitors.</t>
  </si>
  <si>
    <t>Professional, American-facing, Premium</t>
  </si>
  <si>
    <t>Adv. Eliram Elgarably law office offers professional, luxury legal representation for real estate transactions...</t>
  </si>
  <si>
    <t>"Luxury legal representation" is a red flag phrase - American clients associate "luxury" with marketing fluff, not law. Grammar also off ("Adv. ... law office offers").</t>
  </si>
  <si>
    <t>Israeli real estate lawyer for buyers, sellers, and investors - purchase agreements, new construction, urban renewal, and property tax planning. Serving clients in Israel and the US since 2013.</t>
  </si>
  <si>
    <t>Says who it serves and what it does; "Serving clients in Israel and the US" speaks directly to the American audience.</t>
  </si>
  <si>
    <t>Professional, American-facing, Clear</t>
  </si>
  <si>
    <t>index.html (סימולטור מס)</t>
  </si>
  <si>
    <t>מיקרוקופי - אופציית עולה חדש</t>
  </si>
  <si>
    <t>(Full exempt up to 1.97M, 0.5% up to 6M)</t>
  </si>
  <si>
    <t>Broken English ("Full exempt"). This is precisely the option American/Oleh buyers will read.</t>
  </si>
  <si>
    <t>(Olim: full exemption up to NIS 1.97M, 0.5% up to NIS 6M)</t>
  </si>
  <si>
    <t>Correct grammar, adds the term Olim, clarifies currency.</t>
  </si>
  <si>
    <t>American-facing, Clear, Legal</t>
  </si>
  <si>
    <t>וגם לשקול: "New Immigrant" → "New Immigrant (Oleh)"</t>
  </si>
  <si>
    <t>Hero - subtitle</t>
  </si>
  <si>
    <t>Security on your way to homeownership.</t>
  </si>
  <si>
    <t>Vague AI tagline; "security" repeated from the H1 and unclear (financial security? alarm systems?).</t>
  </si>
  <si>
    <t>Personal, end-to-end legal guidance for buying, selling, and investing in Israeli real estate - so nothing is left to chance.</t>
  </si>
  <si>
    <t>Concrete promise instead of an abstract slogan; speaks directly to buyers abroad.</t>
  </si>
  <si>
    <t>Professional, Warm, American-facing</t>
  </si>
  <si>
    <t>About - advantage card</t>
  </si>
  <si>
    <t>Personal Dedicated Partner</t>
  </si>
  <si>
    <t>Not idiomatic - sounds like a dating site or an HR title, not a law firm value.</t>
  </si>
  <si>
    <t>Direct Access to Your Attorney</t>
  </si>
  <si>
    <t>States the actual benefit (no associates, no gatekeepers) in natural English.</t>
  </si>
  <si>
    <t>Professional, American-facing, Human</t>
  </si>
  <si>
    <t>Contact eyebrow</t>
  </si>
  <si>
    <t>HAVE QUESTIONS?</t>
  </si>
  <si>
    <t>All-caps shouting; paired Hebrew version asks two questions. Feels like a banner ad.</t>
  </si>
  <si>
    <t>Questions about a property in Israel?</t>
  </si>
  <si>
    <t>Specific and conversational; speaks to the overseas reader's actual situation.</t>
  </si>
  <si>
    <t>American-facing, Warm</t>
  </si>
  <si>
    <t>Low</t>
  </si>
  <si>
    <t>index.html (מחשבון תשואה)</t>
  </si>
  <si>
    <t>Disclaimer מתחת למחשבון</t>
  </si>
  <si>
    <t>Consult an attorney before investing.</t>
  </si>
  <si>
    <t>Abrupt compared to the fuller Hebrew sentence; also the only place on the page that sounds like a command.</t>
  </si>
  <si>
    <t>We recommend obtaining legal and tax advice before completing any real estate investment.</t>
  </si>
  <si>
    <t>Matches the Hebrew version's tone and register.</t>
  </si>
  <si>
    <t>Legal, Professional</t>
  </si>
  <si>
    <t>practice/commercial-properties</t>
  </si>
  <si>
    <t>Personal guidance</t>
  </si>
  <si>
    <t>עסקאות מסחריות דורשות מהירות תגובה לצד יסודיות ללא פשרות... ומנסח עבורכם הסכמים חזקים ומדויקים המגנים על ההשקעה הכלכלית שלכם ומאפשרים לכם לצמוח בביטחון.</t>
  </si>
  <si>
    <t>"ללא פשרות", "הסכמים חזקים", "לצמוח בביטחון" – שפה שיווקית גנרית שיכולה להופיע באתר של כל משרד בכל תחום.</t>
  </si>
  <si>
    <t>בעסקה מסחרית, עיכוב משפטי עולה כסף. עו"ד אלירם אלגרבלי מלווה את העסקה באופן אישי, זמין לאורך המשא ומתן העסקי, ומנסח הסכמים שמכסים גם את התרחישים הפחות נעימים – הפרה, יציאה מוקדמת ומימוש בטוחות.</t>
  </si>
  <si>
    <t>החלפת סיסמאות באמירה עניינית שמדברת בשפת לקוחות עסקיים.</t>
  </si>
  <si>
    <t>Professional, Clear, Premium</t>
  </si>
  <si>
    <t>practice/corporate-non-profit-registration</t>
  </si>
  <si>
    <t>רישום חברות פרטיות ברשם החברות ורישום עמותות ומלכ</t>
  </si>
  <si>
    <t>תיאור המטא קטוע באמצע מילה ("ומלכ") – ככל הנראה הגרשיים במילה מלכ"רים שברו את התג. כך העמוד מוצג בתוצאות גוגל.</t>
  </si>
  <si>
    <t>רישום חברות פרטיות ברשם החברות ורישום עמותות ומלכ"רים ברשם העמותות, כולל הסכמי מייסדים ותקנון מותאם – עו"ד אלירם אלגרבלי.</t>
  </si>
  <si>
    <t>מטא קטוע פוגע ישירות בהקלקות ובאמינות בתוצאות החיפוש.</t>
  </si>
  <si>
    <t>לבדוק escaping של גרשיים בתגי meta בכל האתר – אותה תקלה גם בעמוד הסכמי שיתוף.</t>
  </si>
  <si>
    <t>practice/ongoing-power-of-attorney</t>
  </si>
  <si>
    <t>כדי לייצר מסמך מדויק ומותאם אישית שייתן לכם ולמשפחתכם שקט נפשי מוחלט.</t>
  </si>
  <si>
    <t>"שקט נפשי מוחלט" – הבטחה גורפת וקלישאה שחוזרת גם בעמוד צוואות; "לייצר מסמך" – רישום דיבורי שאינו מתאים לטקסט משפטי.</t>
  </si>
  <si>
    <t>כדי לנסח מסמך מדויק שמשקף את רצונכם – ומסדיר מראש את מה שהמשפחה תצטרך לדעת ביום שבו הוא ייכנס לתוקף.</t>
  </si>
  <si>
    <t>מסיר הבטחה מוחלטת ומחזיר את הדגש לערך המעשי של המסמך.</t>
  </si>
  <si>
    <t>Warm, Legal, Human</t>
  </si>
  <si>
    <t>"שקט נפשי" מופיע גם בעמודי יד שנייה וצוואות – לגוון.</t>
  </si>
  <si>
    <t>practice/partnerships-coownership</t>
  </si>
  <si>
    <t>עריכת הסכמי שיתוף במקרקעין, ניהול וייצוג משפטי בהליכי פירוק שיתוף מורכבים ופתרון סכסוכי ירושה בנדל</t>
  </si>
  <si>
    <t>תיאור המטא קטוע באמצע מילה ("בנדל") – הגרשיים של נדל"ן שברו את התג, וכך זה נראה בגוגל.</t>
  </si>
  <si>
    <t>עריכת הסכמי שיתוף במקרקעין, ייצוג בהליכי פירוק שיתוף ופתרון סכסוכי ירושה בנדל"ן – עו"ד אלירם אלגרבלי.</t>
  </si>
  <si>
    <t>טקסט שבור בתוצאות החיפוש פוגע מיידית באמינות המשרד.</t>
  </si>
  <si>
    <t>אותה תקלת escaping כמו בעמוד רישום חברות.</t>
  </si>
  <si>
    <t>practice/real-estate-taxation</t>
  </si>
  <si>
    <t>עו״ד אלירם אלגרבלי מנתח באופן אישי כל תיק, בוחן את ההיסטוריה התכנונית והקניינית של הנכס, ובונה אסטרטגיית מס מותאמת אישית שחוסכת לכם כסף רב.</t>
  </si>
  <si>
    <t>"שחוסכת לכם כסף רב" – הבטחת תוצאה כספית, בעייתית מול כללי הפרסומת של הלשכה ולא אמינה כלפי לקוח מתוחכם.</t>
  </si>
  <si>
    <t>עו"ד אלירם אלגרבלי מנתח באופן אישי כל תיק, בוחן את ההיסטוריה התכנונית והקניינית של הנכס, וממפה את מסלולי המס האפשריים – פטורים, חישוב ליניארי, פריסה והוצאות מוכרות – לפני שמתחייבים למבנה העסקה.</t>
  </si>
  <si>
    <t>מחליף הבטחת חיסכון בהצגת הכלים המקצועיים שמייצרים אותו.</t>
  </si>
  <si>
    <t>Legal, Professional, Premium</t>
  </si>
  <si>
    <t>practice/second-hand-property</t>
  </si>
  <si>
    <t>Intro</t>
  </si>
  <si>
    <t>כדי לוודא שאין חריגות בנייה, צווי הריסה או אי-התאמות לקויות להיתר הבנייה המקורי.</t>
  </si>
  <si>
    <t>"אי-התאמות לקויות" הוא צירוף שגוי בעברית – כפל שלילה מסורבל, ככל הנראה שיבוש של "אי-התאמות להיתר".</t>
  </si>
  <si>
    <t>כדי לוודא שאין חריגות בנייה, צווי הריסה או אי-התאמות להיתר הבנייה המקורי.</t>
  </si>
  <si>
    <t>תיקון לשוני נקודתי שמחזיר למשפט את הדיוק המשפטי.</t>
  </si>
  <si>
    <t>Legal, Clear</t>
  </si>
  <si>
    <t>מונעים סיכונים מיותרים ומבטיחים כי הרכוש המשמעותי ביותר שלכם מוגן באופן מוחלט.</t>
  </si>
  <si>
    <t>הבטחת תוצאה מוחלטת ("מוגן באופן מוחלט") – ניסוח בעייתי מבחינה אתית כלפי כללי הפרסומת של הלשכה, וגם פשוט לא אמין.</t>
  </si>
  <si>
    <t>אנו מאמינים שליווי צמוד של עורך דין מנוסה – מהבדיקות המקדימות, דרך המשא ומתן ועד הרישום – מצמצם סיכונים מיותרים ושומר על הנכס המשמעותי ביותר שברשותכם.</t>
  </si>
  <si>
    <t>מחליף הבטחה גורפת באמירה מקצועית שניתן לעמוד מאחוריה.</t>
  </si>
  <si>
    <t>Legal, Professional, Human</t>
  </si>
  <si>
    <t>Footer</t>
  </si>
  <si>
    <t>משרד בוטיק המתמחה בליווי עסקאות מקרקעין... מעניקים יחס אישי ומקצועיות ללא פשרות מאז שנת 2013.</t>
  </si>
  <si>
    <t>"מקצועיות ללא פשרות" – קלישאת פרסום שחוזרת בפוטר של כל 18 העמודים ואינה מבדלת את המשרד במאום.</t>
  </si>
  <si>
    <t>משרד בוטיק המלווה עסקאות מקרקעין, נדל"ן מסחרי, מיסוי מקרקעין, צוואות וירושות וייפוי כוח מתמשך – ביחס אישי ובזמינות מלאה, מאז 2013.</t>
  </si>
  <si>
    <t>מסיר את הקלישאה ומשאיר עובדות שניתן לעמוד מאחוריהן.</t>
  </si>
  <si>
    <t>Professional, Human</t>
  </si>
  <si>
    <t>מופיע בפוטר בכל עמודי האתר – תיקון אחד מתקן הכול.</t>
  </si>
  <si>
    <t>Related articles</t>
  </si>
  <si>
    <t>עו״ד אלירם אלגרבלי — מומחה למקרקעין</t>
  </si>
  <si>
    <t>הצגת עורך הדין כ"מומחה" מנוגדת לכללי לשכת עורכי הדין בעניין פרסומת, אלא אם הוכרה התמחות באופן רשמי. הכיתוב חוזר בכל כרטיסי המאמרים בכל עמודי האתר.</t>
  </si>
  <si>
    <t>עו"ד אלירם אלגרבלי — עורך דין מקרקעין</t>
  </si>
  <si>
    <t>מסיר חשיפה אתית מול הלשכה בלי לפגוע במיצוב.</t>
  </si>
  <si>
    <t>Legal, Israeli-local</t>
  </si>
  <si>
    <t>באנגלית כבר נכתב Real Estate Attorney – יש ליישר את העברית לאותו נוסח. מופיע בכל 18 העמודים.</t>
  </si>
  <si>
    <t>הליווי האישי של עו״ד אלירם אלגרבלי</t>
  </si>
  <si>
    <t>אותה כותרת H2 מופיעה מילה במילה בכל תשעת עמודי תחומי העיסוק, ומתחתיה פסקה באותה תבנית ("עו"ד אלירם אלגרבלי מלווה אתכם באופן אישי..."). התבניתיות ניכרת לעין ומשדרת טקסט מיוצר.</t>
  </si>
  <si>
    <t>לגוון את הכותרת לפי ההקשר. לדוגמה בעמוד זה: "מי מלווה אתכם בעסקה – ואיך זה עובד בפועל".</t>
  </si>
  <si>
    <t>שבירת התבנית מחזירה תחושה שכל עמוד נכתב על ידי אדם עבור נושא ספציפי.</t>
  </si>
  <si>
    <t>חוזר בכל 9 עמודי תחומי העיסוק בעברית ובאנגלית.</t>
  </si>
  <si>
    <t>Process steps</t>
  </si>
  <si>
    <t>ליווי מלא ואישי משלב המשא ומתן הראשוני ועד לרישום הבעלות הסופי על שמכם בטאבו.</t>
  </si>
  <si>
    <t>רשימת השירותים נשארת כללית ואין בעמוד תיאור תהליך אמיתי – מה קורה בפגישה הראשונה, כמה זמן אורכות הבדיקות, מתי משלמים. זה בדיוק המידע שבונה אמון.</t>
  </si>
  <si>
    <t>להוסיף פסקת תהליך קצרה: "כך זה עובד אצלנו: שיחה ראשונית ובדיקת נסח טאבו (בדרך כלל תוך יומיים), דו"ח בדיקות מקדימות לפני כל חתימה, משא ומתן וחתימת חוזה, תשלומים מדורגים בנאמנות, דיווח לרשויות המס – ועד רישום הבעלות על שמכם."</t>
  </si>
  <si>
    <t>פירוט שלבים וזמנים ממשיים מבדל את העמוד מתבנית שיווקית גנרית.</t>
  </si>
  <si>
    <t>Clear, Professional, Warm</t>
  </si>
  <si>
    <t>חסר בכל עמודי תחומי העיסוק; מומלץ להוסיף לפחות בעמודי הליבה.</t>
  </si>
  <si>
    <t>practice/urban-renewal</t>
  </si>
  <si>
    <t>המשפט נקטע באמצע ("מעבר ל") – טקסט שבור שעלה לאוויר בתקציר המאמר על בחירת יזם.</t>
  </si>
  <si>
    <t>קריטריונים לבחינת חוסן פיננסי וניסיון, והדרך הנכונה להשוות בין הצעות – מעבר לגובה התמורה המוצעת.</t>
  </si>
  <si>
    <t>משפט קטוע באמצע מילה הוא ליקוי בולט שכל גולש מזהה.</t>
  </si>
  <si>
    <t>Clear, Professional</t>
  </si>
  <si>
    <t>כנראה גם כאן תו גרשיים או גרש קטע את הטקסט.</t>
  </si>
  <si>
    <t>practice/wills-inheritance</t>
  </si>
  <si>
    <t>אנו מקפידים על ניסוח משפטי קשיח העומד בכל דרישות החוק כדי למנוע אפשרות לפסילת הצוואה בעתיד.</t>
  </si>
  <si>
    <t>"ניסוח קשיח" – צירוף לא טבעי בעברית משפטית; "למנוע אפשרות לפסילה" – הבטחה גורפת שאי אפשר לעמוד בה.</t>
  </si>
  <si>
    <t>אנו מקפידים על ניסוח מדויק העומד בדרישות הצורה של חוק הירושה, כדי לצמצם ככל הניתן עילות לתקיפת הצוואה בעתיד.</t>
  </si>
  <si>
    <t>מדייק את המינוח ומחליף הבטחה מוחלטת בהתחייבות מקצועית ריאלית.</t>
  </si>
  <si>
    <t>CTA</t>
  </si>
  <si>
    <t>הבטיחו את עתיד יקירכם ומנעו סכסוכים מיותרים</t>
  </si>
  <si>
    <t>שגיאת כתיב – "יקירכם" (יחיד) במקום "יקיריכם" (רבים); בנוסף נוסח ציווי שיווקי שאינו מתאים לנושא רגיש.</t>
  </si>
  <si>
    <t>צוואה מסודרת חוסכת ליקיריכם התלבטויות וסכסוכים</t>
  </si>
  <si>
    <t>תיקון שגיאת הכתיב וריכוך הציווי לטון אנושי המתאים לעמוד צוואות.</t>
  </si>
  <si>
    <t>Warm, Human, Clear</t>
  </si>
  <si>
    <t>הקמת עסק או עמותה חדשים מלווה בהתרגשות רבה לצד שאלות רבות.</t>
  </si>
  <si>
    <t>משפט פתיחה ריק מתוכן בנוסח AI, והכפילות "רבה / רבות" צורמת לאוזן.</t>
  </si>
  <si>
    <t>השאלות הראשונות בהקמת עסק או עמותה הן לרוב הקריטיות ביותר: איך מתאגדים, מה כותבים בתקנון, ואיך מחלקים סמכויות בין השותפים או חברי הוועד.</t>
  </si>
  <si>
    <t>פתיח שמדגים הבנה של הלקוח במקום הצהרה רגשית כללית.</t>
  </si>
  <si>
    <t>Professional, Clear, Human</t>
  </si>
  <si>
    <t>practice/new-contractor-purchase</t>
  </si>
  <si>
    <t>עריכת שינויים בחוזה קבלן דורשת ניסיון וסמכותיות מקצועית.</t>
  </si>
  <si>
    <t>"סמכותיות מקצועית" – צירוף עילג שמנסה לשדר כוח במקום להסביר במה הניסיון מתבטא.</t>
  </si>
  <si>
    <t>חוזה קבלן מגיע אליכם כשהוא מנוסח לטובת הקבלן, והיכולת לשנות בו סעיפים תלויה בניסיון ובהיכרות עם הנקודות שבהן קבלנים כן מתגמשים.</t>
  </si>
  <si>
    <t>מחליף הצהרת כוח כללית בתובנה מקצועית אמיתית.</t>
  </si>
  <si>
    <t>הכנת ייפוי כוח מתמשך היא מתנה של ביטחון ושקט נפשי לעצמכם ולילדיכם. פנו אלינו היום לתיאום פגישה אישית להסבר והכנת המסמך.</t>
  </si>
  <si>
    <t>"מתנה של ביטחון ושקט נפשי" – נוסח רגשני-שיווקי, ו"שקט נפשי" ממוחזר שוב ושוב לאורך האתר.</t>
  </si>
  <si>
    <t>ייפוי כוח מתמשך עורכים כשאתם צלולים ובריאים – וזה בדיוק הזמן הנכון. פנו אלינו לתיאום פגישה אישית: נסביר את התהליך, נענה על השאלות, ונתאים את המסמך למשפחתכם.</t>
  </si>
  <si>
    <t>שומר על חום אנושי בלי גלישה לסנטימנטליות פרסומית.</t>
  </si>
  <si>
    <t>אנו פועלים בנחישות וביעילות כדי להגן על האינטרסים הכלכליים שלכם ולמנוע פגיעה בשווי הנכס.</t>
  </si>
  <si>
    <t>"בנחישות וביעילות" – הצהרה גנרית של כל משרד עורכי דין, ללא שמץ פירוט מה נעשה בפועל.</t>
  </si>
  <si>
    <t>במסגרת ההליך נבחן מהו מסלול הפירוק המשתלם עבורכם – חלוקה בעין, רישום כבית משותף, התמחרות פנימית או מכירה – וננהל אותו כך ששווי הנכס לא יישחק בדרך.</t>
  </si>
  <si>
    <t>פירוט המסלולים מוכיח בקיאות במקום להצהיר עליה.</t>
  </si>
  <si>
    <t>Professional, Clear, Legal</t>
  </si>
  <si>
    <t>עסקת יד שנייה טומנת בחובה מגוון רחב של סיכונים סמויים מן העין.</t>
  </si>
  <si>
    <t>פתיח מנופח בנוסח שיווקי-גנרי. "מגוון רחב של סיכונים סמויים מן העין" נשמע כמו טקסט שנוצר על ידי AI ולא כמו עורך דין שמדבר לעניין.</t>
  </si>
  <si>
    <t>ברכישת דירה יד שנייה, רוב הסיכונים אינם נראים בסיור בדירה – הם מתגלים בנסח הטאבו, בתיק הבניין בעירייה ובחבות המס.</t>
  </si>
  <si>
    <t>פתיח קונקרטי שממחיש את הסיכון במקום להכריז עליו.</t>
  </si>
  <si>
    <t>רכישה או מכירה של דירה היא צעד משמעותי. אל תתפשרו על הביטחון המשפטי שלכם. פנו אלינו היום לתיאום פגישת ייעוץ משפטי מקדימה ומקיפה.</t>
  </si>
  <si>
    <t>"אל תתפשרו" היא סיסמה שיווקית לוחצת שאינה אומרת דבר, ו"מקדימה ומקיפה" הוא צמד תארים ריק.</t>
  </si>
  <si>
    <t>לפני שחותמים על זיכרון דברים או חוזה – שווה לשבת לשיחה. בפגישת ייעוץ ראשונית נעבור על פרטי העסקה, נסמן את הבדיקות הנדרשות, ותצאו כשאתם יודעים בדיוק היכן אתם עומדים.</t>
  </si>
  <si>
    <t>קריאה לפעולה שמסבירה מה הלקוח מקבל בפועל במקום ללחוץ עליו.</t>
  </si>
  <si>
    <t>פנו אלינו היום לתיאום פגישת ייעוץ משפטי מקדימה ומקיפה.</t>
  </si>
  <si>
    <t>כל תשעת העמודים מסתיימים באותה נוסחה "פנו אלינו היום ל..." ("פנו אלינו היום לניתוח מס מקדים ומקצועי", "פנו אלינו היום לרישום מקצועי ומהיר") – מיחזור שמרדד את הקריאה לפעולה.</t>
  </si>
  <si>
    <t>לגוון את ניסוח הקריאה לפעולה בין העמודים, למשל כאן: "מוזמנים להתקשר או להשאיר פרטים – נחזור אליכם תוך יום עסקים לתיאום שיחת היכרות."</t>
  </si>
  <si>
    <t>גיוון בניסוח והוספת התחייבות קונקרטית (זמן מענה) בונים אמון יותר מסיסמה חוזרת.</t>
  </si>
  <si>
    <t>Warm, Clear</t>
  </si>
  <si>
    <t>דוגמאות נוספות: מיסוי, רישום חברות, פירוק שיתוף.</t>
  </si>
  <si>
    <t>הסכם מייסדים: המסמך שיקבע אם החברה שלכם תשרוד את הריב הראשון (מסווג תחת "עסקאות יד שנייה")</t>
  </si>
  <si>
    <t>מאמר על הסכם מייסדים לסטארט-אפ מוצג בעמוד עסקאות יד שנייה ומתויג בקטגוריה שגויה – שיבוץ אוטומטי שפוגע באמינות העמוד.</t>
  </si>
  <si>
    <t>לשייך את המאמר לקטגוריית "רישום חברות ועמותות" ולהציג בעמוד זה מאמר רלוונטי במקומו (למשל מאמר הערת האזהרה או מדריך הבדיקות המקדימות).</t>
  </si>
  <si>
    <t>התאמת תוכן קשור לנושא העמוד היא תנאי בסיסי לאמינות.</t>
  </si>
  <si>
    <t>Services list</t>
  </si>
  <si>
    <t>ניסוח ועריכת צוואות יחיד וצוואות הדדיות לבני זוג בבטחה.</t>
  </si>
  <si>
    <t>המילה "בבטחה" נדבקת לסוף המשפט ללא הקשר תחבירי – שריד ניסוח שגוי שמבליט חוסר הגהה.</t>
  </si>
  <si>
    <t>ניסוח ועריכת צוואות יחיד וצוואות הדדיות לבני זוג.</t>
  </si>
  <si>
    <t>הסרת מילה תלושה מחזירה למשפט מקצועיות בסיסית.</t>
  </si>
  <si>
    <t>en/practice/commercial-properties</t>
  </si>
  <si>
    <t>Commercial transactions demand quick response times combined with uncompromising thoroughness.</t>
  </si>
  <si>
    <t>"Uncompromising thoroughness" is the English twin of the site's recycled "lelo psharot" cliche - pure filler that could head any firm's page.</t>
  </si>
  <si>
    <t>Commercial deals run on deadlines. We turn drafts around quickly, flag the points actually worth fighting over, and keep the negotiation moving.</t>
  </si>
  <si>
    <t>Speaks the way commercial clients think - speed, judgment, momentum - without slogans.</t>
  </si>
  <si>
    <t>Professional, Premium, Clear</t>
  </si>
  <si>
    <t>en/practice/new-contractor-purchase</t>
  </si>
  <si>
    <t>Hero</t>
  </si>
  <si>
    <t>New Contractor Purchases</t>
  </si>
  <si>
    <t>Garbled English - it reads as purchasing a new contractor, not buying a newly built apartment from a developer.</t>
  </si>
  <si>
    <t>Buying a New Apartment from a Developer</t>
  </si>
  <si>
    <t>The page title must say in plain English what the service is.</t>
  </si>
  <si>
    <t>Clear, American-facing</t>
  </si>
  <si>
    <t>Also fix the page TITLE tag and breadcrumb/category labels.</t>
  </si>
  <si>
    <t>Zoning rules for delayed possession, standard developer exceptions built into contracts, and how to assert your rights.</t>
  </si>
  <si>
    <t>"Zoning rules" is a flat mistranslation - the Hebrew refers to the statutory compensation provisions of the Sale Law for late delivery; zoning has nothing to do with it.</t>
  </si>
  <si>
    <t>What the Sale Law says about compensation for late delivery, the exceptions developers routinely write into contracts, and how to enforce your rights.</t>
  </si>
  <si>
    <t>A legal mistranslation on a law firm's site directly damages credibility.</t>
  </si>
  <si>
    <t>en/practice/ongoing-power-of-attorney</t>
  </si>
  <si>
    <t>Today, through an Ongoing POA, you choose trusted individuals (attorneys-in-fact) in advance and supply them with clear directives.</t>
  </si>
  <si>
    <t>American readers know this instrument as a "durable power of attorney"; without that anchor, "Ongoing POA" means nothing to them - the page misses its clearest American-facing hook.</t>
  </si>
  <si>
    <t>Today, through an Enduring Power of Attorney - Israel's equivalent of a US durable power of attorney - you choose trusted people in advance and give them clear, binding instructions. If you have assets or family in Israel, a US document alone will not cover them.</t>
  </si>
  <si>
    <t>Anchors the Israeli instrument to the American term and states why a US POA is not enough.</t>
  </si>
  <si>
    <t>American-facing, Legal, Clear</t>
  </si>
  <si>
    <t>Consider "Enduring Power of Attorney" site-wide; it is the Ministry of Justice's own English rendering.</t>
  </si>
  <si>
    <t>Official online deposition with the Administrator General for formal approval.</t>
  </si>
  <si>
    <t>"Deposition" means sworn witness testimony in American legal English; the correct word here is filing or deposit.</t>
  </si>
  <si>
    <t>Official online filing of the document with the Administrator General (Israel's public guardian) for formal approval.</t>
  </si>
  <si>
    <t>A wrong legal term in a list of legal services undermines the entire page.</t>
  </si>
  <si>
    <t>Legal, American-facing</t>
  </si>
  <si>
    <t>The same word appears in the related-articles teaser - fix both.</t>
  </si>
  <si>
    <t>en/practice/partnerships-coownership</t>
  </si>
  <si>
    <t>representing in partition lawsuits (demolition/sale), and resolving inheritance disputes by Adv. Eliram Elgarably.</t>
  </si>
  <si>
    <t>"(demolition/sale)" is a serious mistranslation - haluka be'ayin means physical division of the property among the owners, not demolition. Telling Google your firm handles "demolition" partition suits is alarming and wrong.</t>
  </si>
  <si>
    <t>Drafting co-ownership agreements, representing clients in partition proceedings (physical division or sale), and resolving real estate inheritance disputes. Adv. Eliram Elgarably.</t>
  </si>
  <si>
    <t>Corrects a legal mistranslation visible in search results.</t>
  </si>
  <si>
    <t>en/practice/real-estate-taxation</t>
  </si>
  <si>
    <t>Never Sign a Deal Before Check Tax Liabilities</t>
  </si>
  <si>
    <t>Broken grammar ("Before Check") published as a heading - the single most visible English error on the site.</t>
  </si>
  <si>
    <t>Check the Tax Before You Sign</t>
  </si>
  <si>
    <t>A grammatical heading is the minimum bar for a firm selling precision.</t>
  </si>
  <si>
    <t>Appears on both the Hebrew and English versions of the page.</t>
  </si>
  <si>
    <t>reviewing the planning history of the property to build a customized tax strategy that saves you significant funds.</t>
  </si>
  <si>
    <t>Promises a financial outcome ("saves you significant funds") - ethically risky and reads like ad copy rather than counsel.</t>
  </si>
  <si>
    <t>reviewing the property's planning and ownership history, then mapping the exemptions, deductions, and calculation routes available before you commit to the structure of the deal.</t>
  </si>
  <si>
    <t>Shows the method that produces savings instead of promising the savings.</t>
  </si>
  <si>
    <t>en/practice/second-hand-property</t>
  </si>
  <si>
    <t>Second-Hand Property Deals</t>
  </si>
  <si>
    <t>To American ears "second-hand" describes used clothing, not homes, and "Deals" sounds promotional. US buyers say and search for "resale" properties.</t>
  </si>
  <si>
    <t>Buying or Selling a Resale Home in Israel</t>
  </si>
  <si>
    <t>Uses the term the target audience actually uses and frames the service, not a sales pitch.</t>
  </si>
  <si>
    <t>American-facing, Professional</t>
  </si>
  <si>
    <t>Also appears in the page title and category labels - update consistently.</t>
  </si>
  <si>
    <t>Following the due diligence phase, we draft a tailored sales agreement that protects your interests. The contract structures payment schedules, escrow accounts to secure tax clearances, and defines hand-over conditions, warranties, and registration obligations.</t>
  </si>
  <si>
    <t>The English flattens the Hebrew's concrete detail (payments tied to discharge of the seller's mortgage, escrow until registration) into generic phrases - and for US readers, who assume title insurance exists, those specifics are the trust-building content.</t>
  </si>
  <si>
    <t>After due diligence, we draft a contract built around your protection: payments are released in stages tied to the removal of the seller's mortgage and liens, funds sit in escrow until tax clearances issue, and the agreement fixes the hand-over date and the seller's responsibility for the property's condition. Israel has no title insurance - the contract and registry checks are your protection.</t>
  </si>
  <si>
    <t>Restores the concrete mechanics and adds the one fact every American buyer needs to hear.</t>
  </si>
  <si>
    <t>Our firm guarantees the direct personal guidance of Adv. Eliram Elgarably. We believe that professional representation by a senior attorney ensures peace of mind, protecting your hard-earned assets and providing clarity at every stage.</t>
  </si>
  <si>
    <t>"Guarantees" and "ensures" are overclaims, and "peace of mind" / "hard-earned assets" are stock marketing phrases recycled across the site.</t>
  </si>
  <si>
    <t>Adv. Eliram Elgarably handles every transaction personally - he reviews the title documents, negotiates the contract, and is the one who answers your calls. For most clients this is the largest purchase of their lives, and we treat it that way.</t>
  </si>
  <si>
    <t>Replaces guarantees and cliches with verifiable, human specifics.</t>
  </si>
  <si>
    <t>Human, Professional, Warm</t>
  </si>
  <si>
    <t>"Peace of mind" also appears on the POA and wills pages - vary it.</t>
  </si>
  <si>
    <t>Personal Guidance by Adv. Eliram Elgarably</t>
  </si>
  <si>
    <t>The identical H2 heads all nine English practice pages, each followed by a near-identical paragraph ("Adv. Eliram Elgarably personally represents you..."). The template is visible and reads machine-generated.</t>
  </si>
  <si>
    <t>Vary the heading by context - for this page: "Who Handles Your Transaction - and How We Work".</t>
  </si>
  <si>
    <t>Breaking the repeated template makes each page read as written for its subject.</t>
  </si>
  <si>
    <t>Same issue mirrored on all nine Hebrew pages.</t>
  </si>
  <si>
    <t>Full property rights audit in the Tabu registry and ILA records.</t>
  </si>
  <si>
    <t>All nine pages list services as bullets but give no actual process - no order of steps, no timelines, no mention of remote handling. For overseas clients buying from the US, this is precisely the missing trust content.</t>
  </si>
  <si>
    <t>Add a short numbered section: "How a purchase works with us: 1) Initial call and review of the Tabu extract - usually within 48 hours; 2) Written due diligence findings before you sign anything; 3) Contract negotiation and signing; 4) Staged payments through escrow; 5) Tax filings; 6) Registration of title in your name. We handle the entire process remotely for clients abroad, including signing by power of attorney."</t>
  </si>
  <si>
    <t>Concrete steps and the remote-closing option speak directly to American buyers' real concerns.</t>
  </si>
  <si>
    <t>American-facing, Clear, Professional</t>
  </si>
  <si>
    <t>Applies to all nine EN practice pages; this one is the highest-traffic candidate.</t>
  </si>
  <si>
    <t>en/practice/urban-renewal</t>
  </si>
  <si>
    <t>Representing Landowners Against Developers - Protecting Your Home</t>
  </si>
  <si>
    <t>"Landowners" is the wrong party - these are apartment owners - and "Against Developers" adds an adversarial edge absent from the Hebrew "mul yazamim" (opposite the developer).</t>
  </si>
  <si>
    <t>Representing Apartment Owners Opposite the Developer - Protecting Your Home and Your Rights</t>
  </si>
  <si>
    <t>Names the correct client and keeps the firm-but-not-hostile framing of the original.</t>
  </si>
  <si>
    <t>Legal, Professional, Clear</t>
  </si>
  <si>
    <t>en/practice/wills-inheritance</t>
  </si>
  <si>
    <t>We ensure strict adherence to legal standards to avoid any future challenges.</t>
  </si>
  <si>
    <t>"Avoid any future challenges" is a guarantee no lawyer can make - any will can be contested.</t>
  </si>
  <si>
    <t>We draft to the formal requirements of Israeli inheritance law, closing off the most common grounds on which wills are later contested.</t>
  </si>
  <si>
    <t>Converts an impossible guarantee into a credible professional commitment.</t>
  </si>
  <si>
    <t>to complex estate planning involving trusts, inheritances, and international real estate holdings.</t>
  </si>
  <si>
    <t>"Inheritances" is filler, and the page misses the obvious American-facing point: an Israeli will must be coordinated with an existing US will or trust so the documents do not revoke each other.</t>
  </si>
  <si>
    <t>to complex estates involving businesses and real estate in Israel and abroad. For American clients we routinely prepare an Israeli will that sits alongside an existing US will or trust - carefully scoped so that neither document accidentally revokes the other.</t>
  </si>
  <si>
    <t>This single sentence is the strongest trust-builder available for the firm's core US audience.</t>
  </si>
  <si>
    <t>American-facing, Legal, Premium</t>
  </si>
  <si>
    <t>Advancing a Commercial Property Deal?</t>
  </si>
  <si>
    <t>"Advancing a deal" is not natural English - translated phrasing that sounds off to a native reader.</t>
  </si>
  <si>
    <t>Working on a Commercial Property Deal?</t>
  </si>
  <si>
    <t>Plain idiomatic English keeps the CTA from flagging the page as translated.</t>
  </si>
  <si>
    <t>en/practice/corporate-non-profit-registration</t>
  </si>
  <si>
    <t>Starting a new business or non-profit is an exciting milestone.</t>
  </si>
  <si>
    <t>Greeting-card opener that could appear on any website in any industry - says nothing about the legal work.</t>
  </si>
  <si>
    <t>Most disputes between founders trace back to what was never put in writing. We set up the company or amuta (Israeli non-profit) so the hard questions - equity, authority, exit - are answered before they become arguments.</t>
  </si>
  <si>
    <t>Opens with the actual problem the service solves and glosses the Hebrew term for foreign readers.</t>
  </si>
  <si>
    <t>Professional, Clear, American-facing</t>
  </si>
  <si>
    <t>Overseeing final title deed registration and condominium listing.</t>
  </si>
  <si>
    <t>"Condominium listing" is not a real term; the Hebrew means registering the building as a condominium (bayit meshutaf) in the Land Registry.</t>
  </si>
  <si>
    <t>Overseeing registration of your title and of the building as a condominium (bayit meshutaf) in the Land Registry.</t>
  </si>
  <si>
    <t>Uses the correct legal term and glosses the Hebrew concept for American readers.</t>
  </si>
  <si>
    <t>conducting in-depth discussions to understand your family dynamic and personal needs to draft a document that grants complete peace of mind.</t>
  </si>
  <si>
    <t>"Complete peace of mind" is an absolute promise and the third recycling of "peace of mind" across the practice pages.</t>
  </si>
  <si>
    <t>conducting unhurried, in-depth conversations about your family and your wishes, so the final document says precisely what you want - and your family can actually use it when the time comes.</t>
  </si>
  <si>
    <t>Keeps the warmth while dropping the absolute claim and the recycled phrase.</t>
  </si>
  <si>
    <t>Warm, Human</t>
  </si>
  <si>
    <t>Legal representation in complex partition (partition of land) lawsuits in court.</t>
  </si>
  <si>
    <t>The parenthesis "(partition of land)" repeats the same word it explains - an obvious drafting leftover.</t>
  </si>
  <si>
    <t>Representation in contested partition proceedings, from negotiation through court-ordered division or sale.</t>
  </si>
  <si>
    <t>Removes the redundant artifact and adds a hint of actual scope.</t>
  </si>
  <si>
    <t>Contact us today for a preliminary, expert tax analysis of your property transaction.</t>
  </si>
  <si>
    <t>Awkward comma-stacked phrasing, and "expert" carries the same Israeli Bar advertising sensitivity as the Hebrew "mumche".</t>
  </si>
  <si>
    <t>Contact us before you sign - a preliminary tax review usually takes a few days and can change how you structure the entire transaction.</t>
  </si>
  <si>
    <t>Drops the restricted word and replaces urgency with a concrete, credible benefit.</t>
  </si>
  <si>
    <t>Legal, Clear, Professional</t>
  </si>
  <si>
    <t>Maximizing exemptions from Mas Shevach and Mas Rechisha (single homes, family gifts, new immigrants).</t>
  </si>
  <si>
    <t>"New immigrants" buries the page's strongest American hook - US buyers search for "Aliyah" and "oleh" purchase-tax benefits, and the terms never appear on the page.</t>
  </si>
  <si>
    <t>Maximizing exemptions from Mas Shevach (capital gains tax) and Mas Rechisha (purchase tax) - including the reduced purchase-tax brackets available to Olim making Aliyah and to single-home buyers.</t>
  </si>
  <si>
    <t>Names the benefit in the language the target audience uses and glosses both Hebrew tax terms.</t>
  </si>
  <si>
    <t>Due Diligence, Contractual Protection &amp; Intelligent Risk Management</t>
  </si>
  <si>
    <t>"Intelligent Risk Management" is empty consulting-speak; no practicing lawyer describes their work this way.</t>
  </si>
  <si>
    <t>Due Diligence, Contract Protection, and Managing the Risks of a Resale Purchase</t>
  </si>
  <si>
    <t>Removes the buzzword and ties the heading to the actual subject of the page.</t>
  </si>
  <si>
    <t>and is free of liens, foreclosures, or conflicting warning notes.</t>
  </si>
  <si>
    <t>"Foreclosures" mistranslates ikulim (attachment orders), and "warning notes" appears with no explanation of this uniquely Israeli registry concept.</t>
  </si>
  <si>
    <t>and is free of mortgages, liens, attachment orders, and conflicting cautionary notes (he'arat azhara - a registered notice protecting a buyer's pending rights).</t>
  </si>
  <si>
    <t>Fixes a legal mistranslation and glosses an Israeli term for American readers.</t>
  </si>
  <si>
    <t>Legal, American-facing, Clear</t>
  </si>
  <si>
    <t>Buying or selling a home is a major life decision. Do not compromise on legal safety. Contact us today to schedule a comprehensive legal consultation.</t>
  </si>
  <si>
    <t>"Do not compromise on legal safety" is stilted translationese - "legal safety" is not idiomatic English, and the imperative feels pushy.</t>
  </si>
  <si>
    <t>Before you sign anything - including a memorandum of understanding - have the deal reviewed. A short consultation now is far cheaper than unwinding a problem later.</t>
  </si>
  <si>
    <t>Replaces a translated slogan with plain, persuasive English a lawyer would actually say.</t>
  </si>
  <si>
    <t>Clear, Professional, American-facing</t>
  </si>
  <si>
    <t>Starting a TMA 38 or Pinui Binui Project? Do not approach a developer without independent legal representation.</t>
  </si>
  <si>
    <t>TMA 38 and Pinui Binui appear with no explanation - an American who inherited or bought an Israeli apartment will not know either term.</t>
  </si>
  <si>
    <t>Has your building been approached for urban renewal? TMA 38 (seismic retrofit and expansion) and Pinui-Binui (demolish-and-rebuild) projects can transform your apartment's value - if the agreement protects you. Talk to us before the developer's contract lands on your table.</t>
  </si>
  <si>
    <t>Glosses the Hebrew program names so the American-facing page is actually usable by Americans.</t>
  </si>
  <si>
    <t>American-facing, Clear, Warm</t>
  </si>
  <si>
    <t>articles/index.html</t>
  </si>
  <si>
    <t>Eyebrow מעל הכותרת</t>
  </si>
  <si>
    <t>מאגר המידע והידע שלנו</t>
  </si>
  <si>
    <t>"המידע והידע" - כפילות מילולית שנשמעת AI.</t>
  </si>
  <si>
    <t>מהשולחן של עו״ד אלגרבלי</t>
  </si>
  <si>
    <t>אישי וייחודי במקום גנרי.</t>
  </si>
  <si>
    <t>Human, Warm</t>
  </si>
  <si>
    <t>חלופה ניטרלית: "מדריכים ומאמרים"</t>
  </si>
  <si>
    <t>articles/* (סיסטמי)</t>
  </si>
  <si>
    <t>גוף המאמר</t>
  </si>
  <si>
    <t>הערה קריטית: **ייפוי הכוח אינו מקנה למיופה הכוח שום סמכות כל עוד אתם כשירים ובריאים**</t>
  </si>
  <si>
    <t>כוכביות Markdown גולמיות (**) מוצגות לגולש כטקסט במקום הדגשה, ב-20 מאמרים. בחמישה מאמרים גם רשימות ממוספרות/מתובלטות נדבקו לפסקה אחת עם תווי * ו-1. גולמיים.</t>
  </si>
  <si>
    <t>להמיר את כל סימוני ה-** לתגיות &lt;strong&gt; (או להסיר את ההדגשה), ולפרק רשימות שנדבקו לפסקה אחת לרשימות HTML תקינות (ul/ol).</t>
  </si>
  <si>
    <t>תווי Markdown חשופים הם הסממן הבולט ביותר לתוכן AI לא ערוך ופוגעים מיידית באמינות המשרד.</t>
  </si>
  <si>
    <t>מאמרים שנפגעו: activation-and-supervision-ongoing-poa, betterment-levy-guide, contractor-delivery-delay-compensation, coownership-agreement-importance, estate-distribution-agreement, founders-agreement-startup-importance, inheritance-vs-probate-order, inherited-real-estate-disputes, mutual-wills-spouses, nonprofit-association-establishment-israel, ongoing-poa-importance-over-50, partition-real-estate-joint-ownership, pinui-binui-essential-clauses, protected-vs-free-commercial-lease, purchase-tax-brackets-2026, sale-law-guarantee-contractor, sole-proprietorship-vs-corporation, tma-38-choosing-developer, urban-renewal-homeowners-committee, warning-note-importance. רשימות שנדבקו לפסקה: betterment-levy-guide, contractor-delivery-delay-compensation, nonprofit-association-establishment-israel, partition-real-estate-joint-ownership, purchase-tax-brackets-2026.</t>
  </si>
  <si>
    <t>שורת הכותב מתחת ל-H1</t>
  </si>
  <si>
    <t>עורך דין מומחה לנדל"ן ומקרקעין מאז שנת 2013</t>
  </si>
  <si>
    <t>כללי האתיקה של לשכת עורכי הדין אוסרים על עורך דין להציג עצמו בפרסומת כ"מומחה" בהיעדר הסדר הכרה רשמי בהתמחות. מופיע בכל עמודי המאמרים.</t>
  </si>
  <si>
    <t>עו"ד אלירם אלגרבלי, עוסק במקרקעין ונדל"ן משנת 2013</t>
  </si>
  <si>
    <t>מסיר חשיפה אתית מול הלשכה ונשמע מקצועי לא פחות — ותק וניסיון משכנעים יותר מתואר אסור.</t>
  </si>
  <si>
    <t>לתקן גם בגרסה האנגלית (Real Estate Law Specialist) ובכל מקום אחר באתר שבו מופיע "מומחה".</t>
  </si>
  <si>
    <t>פוטר — תיאור המשרד</t>
  </si>
  <si>
    <t>משרד בוטיק המתמחה בליווי עסקאות מקרקעין, נדל"ן מסחרי, מיסוי מקרקעין, צוואות וירושות וייפוי כוח מתמשך. מעניקים יחס אישי ומקצועיות ללא פשרות מאז שנת 2013.</t>
  </si>
  <si>
    <t>"מקצועיות ללא פשרות" — קלישאת פרסום שחוקה שמופיעה בפוטר של כל עמוד באתר; בדיוק הניסוח הריק שממנו המותג צריך להתרחק.</t>
  </si>
  <si>
    <t>משרד בוטיק המלווה עסקאות מקרקעין, נדל"ן מסחרי, מיסוי מקרקעין, צוואות וירושות וייפוי כוח מתמשך — ביחס אישי ובליווי צמוד, משנת 2013.</t>
  </si>
  <si>
    <t>אומר את אותו הדבר בלי סלוגן, ושומר על הטון האנושי-מקצועי של המשרד.</t>
  </si>
  <si>
    <t>Warm, Professional, Human</t>
  </si>
  <si>
    <t>מופיע בכל עמודי האתר, לא רק במאמרים.</t>
  </si>
  <si>
    <t>articles/activation-and-supervision-ongoing-poa</t>
  </si>
  <si>
    <t>פסקת פתיחה</t>
  </si>
  <si>
    <t>חוק הירושה והאפוטרופסות כולל מנגנוני הגנה קפדניים וברורים כדי למנוע מצבים אלו ולהבטיח פיקוח מלא.</t>
  </si>
  <si>
    <t>שגיאה עובדתית חמורה: אין חוק בשם "חוק הירושה והאפוטרופסות". ההסדר קבוע בחוק הכשרות המשפטית והאפוטרופסות, התשכ"ב-1962 (תיקון 18). בנוסף, "להבטיח פיקוח מלא" — הבטחה מוגזמת.</t>
  </si>
  <si>
    <t>חוק הכשרות המשפטית והאפוטרופסות (תיקון 18) קובע מנגנוני הגנה ופיקוח שנועדו לצמצם משמעותית את הסיכון לניצול לרעה.</t>
  </si>
  <si>
    <t>ציון שם חוק שגוי במאמר משפטי הוא פגיעה ישירה באמינות המקצועית של המשרד.</t>
  </si>
  <si>
    <t>articles/betterment-levy-exemption-mamad</t>
  </si>
  <si>
    <t>החלטה תקדימית דרמטית של ועדת הערר: האם עסקת קומבינציה במגרש ריק פטורה מהיטל השבחה על שטחי ממ״ד עתידיים? ניתוח משפטי מאת עו״ד אלירם אלגרבלי.</t>
  </si>
  <si>
    <t>"תקדימית דרמטית" — כפל סופרלטיבים קליקבייטי; החלטת ועדת ערר אינה תקדים מחייב, כך שגם "תקדימית" אינה מדויקת משפטית.</t>
  </si>
  <si>
    <t>ועדת הערר מחוז מרכז קבעה שאין לגבות היטל השבחה על שטחי ממ״ד בעסקת קומבינציה. מה נקבע, למה זה חשוב לבעלי קרקע וליזמים, ומה כדאי לבדוק בהסכם.</t>
  </si>
  <si>
    <t>מתאר את התוכן במדויק ובלי הפרזה, ועדיין נותן סיבה טובה להקליק.</t>
  </si>
  <si>
    <t>פסקת סיום (השורה התחתונה)</t>
  </si>
  <si>
    <t>החלטה זו מעניקה הגנה משמעותית לבעלי קרקעות ויזמים מפני שומות מופרזות של היטל השבחה. היא מסמנת פרשנות הגיונית ומציאותית השומרת על האינטרס הציבורי החשוב ביותר – עידוד בנייה מהירה של מרחבים מוגנים מצילים חיים, תוך העדפת המהות התכליתית על פני פורמליזם יבש.</t>
  </si>
  <si>
    <t>סיום בסגנון מאמר דעה נלהב, ללא הסיוג המתבקש שמדובר בהחלטת ועדת ערר שאינה הלכה מחייבת ושכל מקרה נבחן לפי נסיבותיו.</t>
  </si>
  <si>
    <t>ההחלטה מחזקת את עמדת הנישומים בשומות היטל השבחה על שטחי ממ"ד בעסקאות קומבינציה. עם זאת, מדובר בהחלטת ועדת ערר — לא בהלכה מחייבת של בית המשפט — וכל מקרה ייבחן לפי נסיבותיו ולפי האינדיקציות שפורטו לעיל. מי שמתכנן עסקת קומבינציה ייטיב לעשות אם יבנה את ההסכם מראש בהתאם.</t>
  </si>
  <si>
    <t>מסיים בערך מעשי לקורא תוך גידור משפטי נכון — כך כותב עורך דין, לא קופירייטר.</t>
  </si>
  <si>
    <t>articles/commercial-lease-agreement-tips</t>
  </si>
  <si>
    <t>קישור תחום התמחות (תחתית המאמר)</t>
  </si>
  <si>
    <t>← לתחום התמחות: רכישה מקבלן</t>
  </si>
  <si>
    <t>שיוך שגוי: מאמר על שכירות מסחרית מקשר לתחום "רכישה מקבלן" במקום ל"נדל"ן מסחרי".</t>
  </si>
  <si>
    <t>← לתחום התמחות: נדל"ן מסחרי</t>
  </si>
  <si>
    <t>מתקן ניווט שגוי שמבלבל גולשים ומחלש את הקישוריות הפנימית של תחום הנדל"ן המסחרי.</t>
  </si>
  <si>
    <t>articles/construction-index-linkage</t>
  </si>
  <si>
    <t>כותרת H2</t>
  </si>
  <si>
    <t>מהו מדריך תשומות הבנייה?</t>
  </si>
  <si>
    <t>שגיאת הקלדה בכותרת: "מדריך" במקום "מדד" — במונח המרכזי שעליו המאמר כולו בנוי.</t>
  </si>
  <si>
    <t>מהו מדד תשומות הבנייה?</t>
  </si>
  <si>
    <t>שגיאה במונח המקצועי בכותרת H2 בולטת לעין וגם פוגעת ב-SEO של ביטוי החיפוש המרכזי.</t>
  </si>
  <si>
    <t>articles/construction-violations-second-hand</t>
  </si>
  <si>
    <t>על פי החוק, האחריות הפלילית לקיומן של חריגות בנייה עוברת לבעלים החדש של הדירה עם העברת הבעלות.</t>
  </si>
  <si>
    <t>קביעה משפטית לא מדויקת: אחריות פלילית על ביצוע עבירת הבנייה אינה "עוברת" אוטומטית לרוכש. הנכון: צווי הריסה והליכי אכיפה ממשיכים לחול על הנכס, והרוכש עלול להתחייב בעבירת שימוש אסור מתמשך.</t>
  </si>
  <si>
    <t>חריגת בנייה אינה נעלמת עם מכירת הדירה: צווי הריסה והליכי אכיפה ממשיכים לחול על הנכס גם לאחר העברת הבעלות, והרוכש עצמו עלול להיחשף לאחריות בגין שימוש אסור מתמשך. לכן חובה לאתר חריגות מראש, במסגרת הבדיקות המקדמיות.</t>
  </si>
  <si>
    <t>מתאר נכון את החשיפה האמיתית של הרוכש בלי קביעה משפטית שגויה שעלולה להטעות.</t>
  </si>
  <si>
    <t>באותו מאמר: "יעמיד את הקונה בפני שוקת שבורה" — קלישאה; עדיף "עלול להותיר את הקונה ללא מימון בשלב קריטי של העסקה".</t>
  </si>
  <si>
    <t>articles/estate-distribution-agreement</t>
  </si>
  <si>
    <t>חלוקת נכסי עיזבון בין יורשים אינה נחשבת כ"עסקה במקרקעין", ועל כן היא **פטורה לחלוטין ממס שבח ומס רכישה**. פטור זה חל בתנאי מפתח אחד: החלוקה מבוצעת אך ורק מתוך נכסי העיזבון עצמם (ללא הוספת כספים חיצוניים של היורשים לצורך ביצוע האיזון).</t>
  </si>
  <si>
    <t>פישוט יתר מסוכן: "פטורה לחלוטין" ו"תנאי מפתח אחד" — בפועל סעיף 5(ג)(4) דורש כמה תנאים מצטברים (חלוקה ראשונה, בין היורשים בלבד, מתוך נכסי העיזבון בלבד), וחריגה מהם הופכת את החלוקה לעסקה חייבת. בנוסף Markdown גולמי.</t>
  </si>
  <si>
    <t>על פי סעיף 5(ג)(4) לחוק מיסוי מקרקעין, חלוקה ראשונה של נכסי עיזבון בין יורשים אינה נחשבת "מכירה", ולכן אינה מקימה חבות במס שבח או במס רכישה — ובלבד שהחלוקה נעשית בין היורשים בלבד ומתוך נכסי העיזבון, ללא תשלומי איזון מכספים חיצוניים. חריגה מאחד התנאים עלולה להפוך את החלוקה כולה או חלקה לעסקה חייבת במס.</t>
  </si>
  <si>
    <t>מציג את התנאים המצטברים כהווייתם — בדיוק המקום שבו ייעוץ רשלני באתר עלול לעלות ללקוח כסף אמיתי.</t>
  </si>
  <si>
    <t>באותו מאמר, בפסקת הסיום: "שמאות... המבטיחה הגנה מלאה על היורשים מול רשויות המס" — לרכך ל"המחזקת את עמדת היורשים מול רשויות המס". וכן בכותרת H1: "מונע מלחמות משפחתיות" — עדיף "מונע סכסוכים משפחתיים".</t>
  </si>
  <si>
    <t>articles/founders-agreement-startup-importance</t>
  </si>
  <si>
    <t>← לתחום התמחות: עסקאות יד שנייה</t>
  </si>
  <si>
    <t>שיוך שגוי: מאמר על הסכם מייסדים מקשר לתחום "עסקאות יד שנייה" במקום ל"רישום חברות ועמותות" (פירור הלחם בראש העמוד דווקא תקין).</t>
  </si>
  <si>
    <t>← לתחום התמחות: רישום חברות ועמותות</t>
  </si>
  <si>
    <t>קישור פנימי שגוי פוגע בניווט, ב-SEO ובאמינות.</t>
  </si>
  <si>
    <t>articles/nonprofit-association-establishment-israel</t>
  </si>
  <si>
    <t>הקמת עמותה דורשת לפחות 7 מייסדים (בני אדם או תאגידים).</t>
  </si>
  <si>
    <t>שגיאה עובדתית מהותית: לפי סעיף 1 לחוק העמותות, התש"ם-1980, די בשני מייסדים. הדרישה ל-7 אינה קיימת בדין הישראלי.</t>
  </si>
  <si>
    <t>להקמת עמותה נדרשים לפחות שני מייסדים בגירים (בני אדם או תאגידים), שאינם פסולי דין.</t>
  </si>
  <si>
    <t>טעות בדרישת סף בסיסית במאמר "צעד אחר צעד" עלולה להרחיק לקוחות ולשדר חוסר בקיאות.</t>
  </si>
  <si>
    <t>articles/ongoing-poa-importance-over-50</t>
  </si>
  <si>
    <t>הוא מעניק למיופי הכוח שבחרתם (בדרך כלל בני זוג או ילדים) את הסמכות לפעול מיידית לטובתכם ללא צורך בפנייה לבתי משפט, מה שחוסך זמן יקר ובירוקרטיה מתישה ברגעים הקשים ביותר.</t>
  </si>
  <si>
    <t>לא מדויק: הכניסה לתוקף אינה "מיידית" — היא מותנית בהגשת הצהרה לאפוטרופוס הכללי בצירוף חוות דעת רפואית וקבלת אישור כניסה לתוקף (כמתואר במאמר אחר באתר עצמו).</t>
  </si>
  <si>
    <t>הוא מאפשר למיופי הכוח שבחרתם (בדרך כלל בני זוג או ילדים) להתחיל לפעול בהליך מנהלי פשוט יחסית — הגשת הצהרה לאפוטרופוס הכללי בצירוף חוות דעת רפואית — בלי הליך משפטי למינוי אפוטרופוס, שעלול להימשך חודשים.</t>
  </si>
  <si>
    <t>מיישר קו עם המאמר על הפעלת ייפוי הכוח באותו אתר ומונע סתירה פנימית בין עמודים.</t>
  </si>
  <si>
    <t>באותה פסקת השוואה גם "דוחות כספיים מתישים" — עדיף "חובות דיווח שוטפות לאפוטרופוס הכללי".</t>
  </si>
  <si>
    <t>articles/ongoing-power-of-attorney</t>
  </si>
  <si>
    <t>התחום הרפואי: קבלת החלטות לגבי טיפולים רפואיים, בדיקות, ניתוחים, תרופות והליכים מצילי חיים (או הימנעות ��הם בהתאם להנחיות ספציפיות).</t>
  </si>
  <si>
    <t>תווים שבורים (��) במקום המילה "מהם" — באג קידוד גלוי לכל גולש בעמוד המדריך המרכזי של התחום.</t>
  </si>
  <si>
    <t>התחום הרפואי: קבלת החלטות לגבי טיפולים רפואיים, בדיקות, ניתוחים, תרופות והליכים מאריכי חיים (או הימנעות מהם, בהתאם להנחיות שתשאירו).</t>
  </si>
  <si>
    <t>מתקן את שגיאת הקידוד; "מאריכי חיים" גם מדויק יותר מ"מצילי חיים" בהקשר של הנחיות סוף חיים.</t>
  </si>
  <si>
    <t>Clear, Legal</t>
  </si>
  <si>
    <t>ייפוי כוח מתמשך מציע מספר יתרונות עצומים ההופכים אותו לכלי ההגנה הטוב ביותר למשפחה:</t>
  </si>
  <si>
    <t>"יתרונות עצומים" ו"הכלי הטוב ביותר" — סופרלטיבים גורפים; ייפוי כוח מתמשך אינו מתאים לכל מצב, ועורך דין לא קובע "הטוב ביותר".</t>
  </si>
  <si>
    <t>לייפוי כוח מתמשך כמה יתרונות מרכזיים על פני אפוטרופסות:</t>
  </si>
  <si>
    <t>ממסגר את ההשוואה הנכונה (מול אפוטרופסות) בלי הכתרה שיווקית.</t>
  </si>
  <si>
    <t>פסקת סיום</t>
  </si>
  <si>
    <t>עריכת ייפוי כוח מתמשך היא המתנה הגדולה ביותר שאתם יכולים להעניק לעצמכם ולמשפחתכם. היא חוסכת כאב לב, סכסוכים משפחתיים ובירוקרטיה קשה ברגעים המאתגרים של החיים, ומבטיחה שעתידכם ינוהל בדיוק בדרך שבה בחרתם.</t>
  </si>
  <si>
    <t>פאתוס שיווקי ("המתנה הגדולה ביותר") והבטחת תוצאה ("מבטיחה... בדיוק בדרך שבה בחרתם"); גם כותרת הפרק "סיכום ושקט נפשי" — קלישאה.</t>
  </si>
  <si>
    <t>עריכת ייפוי כוח מתמשך מסדירה מראש מי יקבל החלטות עבורכם, באילו תחומים ולפי אילו הנחיות — וחוסכת מהמשפחה הליך אפוטרופסות יקר ומורכב בדיוק ברגעים הקשים. ככל שההנחיות מפורטות ומדויקות יותר, כך גדל הסיכוי שענייניכם ינוהלו כפי שרציתם. (כותרת מוצעת לפרק: "סיכום")</t>
  </si>
  <si>
    <t>חם ואנושי בלי להבטיח תוצאה — ניסוח שעומד גם במבחן אתי.</t>
  </si>
  <si>
    <t>Warm, Human, Legal</t>
  </si>
  <si>
    <t>גם בפתיחה: "אלטרנטיבה מהפכנית המעניקה לכם שליטה מלאה על עתידכם" — לרכך ל"חלופה המאפשרת לכם לקבוע מראש מי ינהל את ענייניכם וכיצד".</t>
  </si>
  <si>
    <t>articles/pinui-binui-essential-clauses</t>
  </si>
  <si>
    <t>כותרת H1</t>
  </si>
  <si>
    <t>בעלי דירות בפרויקט פינוי-בינוי: עשרת הסעיפים שחייבים להופיע בהסכם מול היזם</t>
  </si>
  <si>
    <t>הכותרת מבטיחה "עשרה סעיפים" אך גוף המאמר מציג שלושה בלבד — המאמר נראה קטוע והקורא מרגיש מרומה.</t>
  </si>
  <si>
    <t>בעלי דירות בפינוי-בינוי: סעיפי המפתח שחייבים להופיע בהסכם מול היזם</t>
  </si>
  <si>
    <t>מיישר את הציפייה עם התוכן בפועל; לחלופין — להשלים את המאמר לעשרה סעיפים כפי שהובטח.</t>
  </si>
  <si>
    <t>אם בוחרים להשלים לעשרה סעיפים: שווה להוסיף בין היתר רוב דרוש וחתימות, מיסוי ומע"מ, דיירים סרבנים, מנגנון החלפת יזם, ושכ"ט עו"ד הדיירים על חשבון היזם.</t>
  </si>
  <si>
    <t>articles/purchase-tax-brackets-2026</t>
  </si>
  <si>
    <t>רכישת דירת מגורים בישראל מפעילה חבות בתשלום מס רכישה — מס מדורג המשולם על ידי הקונה בתוך 60 ימים ממועד העסקה.</t>
  </si>
  <si>
    <t>נתון מועדים שאינו מעודכן: חובת ההצהרה לרשות המסים (שעמה משולם המס) היא בתוך 30 ימים ממועד העסקה. גם "מפעילה חבות" — עברית מתורגמת (triggers).</t>
  </si>
  <si>
    <t>רכישת דירת מגורים בישראל מקימה חבות במס רכישה — מס מדורג שעל הקונה להצהיר עליו ולשלמו לרשות המסים בתוך 30 ימים ממועד העסקה.</t>
  </si>
  <si>
    <t>מועד דיווח שגוי באתר משפטי עלול לגרום ללקוח לאחר בדיווח ולספוג קנסות.</t>
  </si>
  <si>
    <t>מומלץ לאמת את המועד מול נוסח סעיף 73 לחוק מיסוי מקרקעין נכון למועד הפרסום.</t>
  </si>
  <si>
    <t>articles/sole-proprietorship-vs-corporation</t>
  </si>
  <si>
    <t>"מסך ההתאגדות" מגן על בעלי המניות, כך שחובות החברה שייכים לחברה בלבד ולא ניתן לרדת לנכסיהם האישיים של הבעלים (למעט במקרים חריגים של הונאה המצדיקים "הרמת מסך").</t>
  </si>
  <si>
    <t>מצג גורף מדי: הרמת מסך אפשרית לא רק בהונאה (גם מימון דק, נטילת סיכון בלתי סביר, עירוב נכסים), ובפועל בנקים וספקים דורשים מבעלי חברות קטנות ערבויות אישיות שמאיינות חלק ניכר מההגנה.</t>
  </si>
  <si>
    <t>"מסך ההתאגדות" מפריד בין חובות החברה לנכסי בעלי המניות. עם זאת, ההגנה אינה הרמטית: בתי המשפט מרימים את המסך במקרים של שימוש לרעה באישיות המשפטית הנפרדת, ובפועל בנקים וספקים רבים מתנים אשראי בערבות אישית של הבעלים.</t>
  </si>
  <si>
    <t>מציג ללקוח תמונה אמיתית של היקף ההגנה — מניעת אכזבה ותלונה עתידית.</t>
  </si>
  <si>
    <t>articles/warning-note-importance</t>
  </si>
  <si>
    <t>כדי לגשר על פער זה ולהגן על כספי הרוכש, המציא החוק הישראלי כלי משפטי רב עוצמה: הערת אזהרה.</t>
  </si>
  <si>
    <t>"המציא החוק" — ניסוח שגוי ומוזר (חוק אינו "ממציא"); "רב עוצמה" — סופרלטיב שיווקי ריק.</t>
  </si>
  <si>
    <t>כדי לגשר על פער זה ולהגן על הרוכש, קובע חוק המקרקעין כלי מרכזי: הערת אזהרה הנרשמת בפנקסי המקרקעין.</t>
  </si>
  <si>
    <t>מדויק משפטית (סעיף 126 לחוק המקרקעין) ונקי מניסוח שיווקי.</t>
  </si>
  <si>
    <t>הערת האזהרה מעניקה לרוכש עדיפות משפטית מוחלטת על פני נושים אחרים של המוכר... זכויותיו של הרוכש מוגנות ולא ניתן יהיה לפגוע בהן או למכור את הנכס לצורך כיסוי חובות המוכר.</t>
  </si>
  <si>
    <t>הגזמה משפטית מסוכנת: ההגנה אינה "מוחלטת". ההערה אינה גוברת על משכנתאות, שעבודים והערות שנרשמו לפניה, וההגנה בחדלות פירעון כפופה לתנאי סעיף 127(ב) לחוק המקרקעין.</t>
  </si>
  <si>
    <t>מעבר למניעת עסקאות סותרות, סעיף 127(ב) לחוק המקרקעין קובע כי עיקול, פשיטת רגל או פירוק של המוכר שנפתחו לאחר רישום ההערה לא יפגעו, ככלל, בזכויות הרוכש, וניתן יהיה להשלים את העסקה. חשוב לזכור: ההערה אינה גוברת על שעבודים וזכויות שנרשמו לפניה — ולכן בדיקת נסח עדכני לפני החתימה היא תנאי הכרחי.</t>
  </si>
  <si>
    <t>מתאר נכונה את היקף ההגנה הסטטוטורית במקום הבטחה גורפת שעלולה להטעות לקוחות ולחשוף את המשרד.</t>
  </si>
  <si>
    <t>השלכות משפטיות ומיסויות דרמטיות / השפעה דרמטית על מחיר הנכס / מפחית באופן דרמטי את שווי השוק / המפחית דרמטית את חבות המס / שתי קביעות משפטיות דרמטיות</t>
  </si>
  <si>
    <t>המילה "דרמטי" חוזרת כמגביר ריגושי בחמישה מאמרים לפחות — סממן מובהק לטקסט מחולל. עורך דין לא מתאר מס כ"דרמטי".</t>
  </si>
  <si>
    <t>להחליף לפי הקשר: "השלכות משמעותיות", "השפעה ניכרת על מחיר הנכס", "מפחית באופן ניכר (לעיתים בעשרות אחוזים)", "המקטין משמעותית את חבות המס", "שתי קביעות מרכזיות".</t>
  </si>
  <si>
    <t>ניסוח מדוד ומבוסס-עובדות משדר סמכות משפטית; סופרלטיבים שוחקים אמון.</t>
  </si>
  <si>
    <t>עמודים: sole-proprietorship-vs-corporation, protected-vs-free-commercial-lease (פעמיים), real-estate-taxation-guide, betterment-levy-exemption-mamad (כותרת H2 + מטא).</t>
  </si>
  <si>
    <t>עבור רוב הישראלים, רכישת דירה היא העסקה הכלכלית הגדולה והחשובה ביותר בחייהם / רכישת דירה יד שנייה היא אחת העסקאות הפיננסיות המשמעותיות ביותר בחייו של אדם</t>
  </si>
  <si>
    <t>אותה פתיחה גנרית ("העסקה הגדולה בחיים") חוזרת בכמה מאמרים, והמאמרים buying-second-hand-property ו-due-diligence-second-hand-home חופפים זה לזה כמעט לחלוטין בתוכן.</t>
  </si>
  <si>
    <t>לגוון את הפתיחות ולגשת ישר לעניין. למשל: "לפני חתימה על הסכם מכר — ולעיתים עוד לפני זיכרון דברים — יש סדרת בדיקות שאי אפשר לדלג עליהן. כך הן נראות בפועל."</t>
  </si>
  <si>
    <t>פתיחה עניינית מבדלת בין המאמרים, משפרת SEO ונקראת כמו עורך דין אמיתי ולא כמו תבנית.</t>
  </si>
  <si>
    <t>Clear, Human, Israeli-local</t>
  </si>
  <si>
    <t>מומלץ לשקול איחוד או בידול חד בין שני מדריכי היד-השנייה כדי למנוע קניבליזציה של תוכן.</t>
  </si>
  <si>
    <t>הערה קריטית: **ייפוי הכוח אינו מקנה למיופה הכוח שום סמכות כל עוד אתם כשירים ובריאים**.</t>
  </si>
  <si>
    <t>"הערה קריטית:" — פתיח רובוטי בסגנון צ'אטבוט, בתוספת Markdown גולמי.</t>
  </si>
  <si>
    <t>חשוב להדגיש: כל עוד אתם כשירים, ייפוי הכוח אינו מקנה למיופה הכוח כל סמכות.</t>
  </si>
  <si>
    <t>אומר את אותו הדבר בעברית טבעית, בלי מחוות AI ובלי תווי עריכה חשופים.</t>
  </si>
  <si>
    <t>החלטה חדשה של ועדת הערר מחוז מרכז עושה סדר בנושא ומסמנת מהפך לטובת בעלי המקרקעין והיזמים בישראל.</t>
  </si>
  <si>
    <t>"מהפך" — הכרזה גורפת על החלטת ועדת ערר אחת, שאינה הלכה מחייבת ועשויה להשתנות בערכאות.</t>
  </si>
  <si>
    <t>החלטה חדשה של ועדת הערר מחוז מרכז עושה סדר בנושא, וקובעת קביעות חשובות לטובת בעלי מקרקעין ויזמים.</t>
  </si>
  <si>
    <t>שומר על העניין החדשותי בלי להפוך החלטת ועדה אחת ל"מהפך" היסטורי.</t>
  </si>
  <si>
    <t>מדובר בחובה וזכות סטטוטורית שנקבעה ישירות בחוק הגנה אזרחית ובסעיף 151(ג) לחוק התכנון והבנייה.</t>
  </si>
  <si>
    <t>שם החוק אינו מדויק — שמו הרשמי: חוק ההתגוננות האזרחית, התשי"א-1951.</t>
  </si>
  <si>
    <t>מדובר בחובה ובזכות סטטוטורית שנקבעו ישירות בחוק ההתגוננות האזרחית, התשי"א-1951, ובסעיף 151(ג) לחוק התכנון והבנייה.</t>
  </si>
  <si>
    <t>דיוק בשמות חוקים הוא כרטיס הביקור של אתר משפטי.</t>
  </si>
  <si>
    <t>Legal</t>
  </si>
  <si>
    <t>articles/buying-second-hand-property</t>
  </si>
  <si>
    <t>פירור לחם / קטגוריה</t>
  </si>
  <si>
    <t>מדריך רכישה Buying Guide</t>
  </si>
  <si>
    <t>הקטגוריה "מדריך רכישה" אינה קיימת ברשימת תחומי ההתמחות של האתר; קישור התחום בתחתית העמוד מפנה ל"עסקאות יד שנייה".</t>
  </si>
  <si>
    <t>עסקאות יד שנייה</t>
  </si>
  <si>
    <t>טקסונומיה אחידה של קטגוריות חיונית לניווט ול-SEO.</t>
  </si>
  <si>
    <t>בדיקת קניין (טאבו / רשות מקרקעי ישראל / חברה משכנת): מיצוי נסח טאבו עדכני לשלילת עיקולים, שעבודים, הערות אזהרה סותרות...</t>
  </si>
  <si>
    <t>"מיצוי נסח טאבו" — שיבוש לשוני שנשמע כתרגום מכונה; בעברית מקצועית מפיקים או מזמינים נסח.</t>
  </si>
  <si>
    <t>בדיקת קניין (טאבו / רשות מקרקעי ישראל / חברה משכנת): הפקת נסח טאבו עדכני לשלילת עיקולים, שעבודים והערות אזהרה סותרות, ובחינת זכויות המוכר הרשומות בנכס.</t>
  </si>
  <si>
    <t>מינוח מקצועי נכון — בדיוק במשפט שאמור להפגין שליטה בפרקטיקה.</t>
  </si>
  <si>
    <t>ייצוג משפטי מקצועי של עורך דין המתמחה בתחום המקרקעין והנדל"ן הוא תעודת הביטוח שלכם לכך שהעסקה תסתיים בבטחה וברישום תקין.</t>
  </si>
  <si>
    <t>"תעודת הביטוח שלכם לכך שהעסקה תסתיים בבטחה" — הבטחת תוצאה מרומזת, ניסוח שעורך דין צריך להימנע ממנו.</t>
  </si>
  <si>
    <t>ליווי של עורך דין מקרקעין מנוסה מצמצם משמעותית את הסיכונים בעסקה ומוודא שהזכויות יירשמו על שמכם כראוי.</t>
  </si>
  <si>
    <t>משדר ביטחון מקצועי בלי להבטיח תוצאה — נכון אתית ומשפטית.</t>
  </si>
  <si>
    <t>articles/capital-gains-tax-exemptions</t>
  </si>
  <si>
    <t>תכנון מס מדויק מאפשר להפחית עשרות אלפי שקלים מהמס המבוקש על ידי רשויות המס.</t>
  </si>
  <si>
    <t>מנוסח כהבטחת תוצאה גורפת; "המס המבוקש על ידי רשויות המס" — ניסוח עילג (המס אינו "מבוקש").</t>
  </si>
  <si>
    <t>במקרים רבים, תכנון נכון של מועד המכירה וסדר העסקאות יכול להקטין את חבות המס בעשרות אלפי שקלים.</t>
  </si>
  <si>
    <t>מסויג נכון ("במקרים רבים", "יכול") ועדיין מעביר את הערך של תכנון מס מקצועי.</t>
  </si>
  <si>
    <t>בניגוד להסכמי שכירות למגורים, הסכמי שכירות מסחרית (חנויות, משרדים, תעשייה) הם חוזים מורכבים ביותר שאינם כפופים לחוקי הגנת הצרכן המקובלים.</t>
  </si>
  <si>
    <t>ניסוח מטעה: גם שכירות למגורים אינה כפופה ל"חוקי הגנת הצרכן"; ההבחנה הנכונה היא שהוראות המגן לשכירות למגורים (חוק שכירות הוגנת) אינן חלות על שכירות מסחרית.</t>
  </si>
  <si>
    <t>בניגוד לשכירות למגורים, שעליה חלות הוראות מגן מכוח חוק השכירות והשאילה ("חוק שכירות הוגנת"), שכירות מסחרית (חנויות, משרדים, תעשייה) נשלטת כמעט כולה על ידי החוזה עצמו — ולכן כל סעיף בו מכריע.</t>
  </si>
  <si>
    <t>מציג נכון את המסגרת הנורמטיבית ומחדד למה ליווי משפטי בשכירות מסחרית קריטי.</t>
  </si>
  <si>
    <t>בעקבות תיקון חשוב לחוק המכר שנכנס לתוקף בשנים האחרונות, חל איסור להצמיד את מלוא מחיר הדירה למדד.</t>
  </si>
  <si>
    <t>עמימות לא אופיינית לעורך דין: "תיקון חשוב... בשנים האחרונות" — בלי שם התיקון ושנתו. מדובר בתיקון מס' 9 לחוק המכר (דירות) משנת 2022.</t>
  </si>
  <si>
    <t>בעקבות תיקון מס' 9 לחוק המכר (דירות), שנכנס לתוקף ביולי 2022, הוגבלה ההצמדה: ככלל, ניתן להצמיד למדד תשומות הבנייה רק עד 40% ממחיר הדירה.</t>
  </si>
  <si>
    <t>אסמכתה מדויקת משדרת בקיאות ומאפשרת לקורא לאמת את המידע.</t>
  </si>
  <si>
    <t>articles/contractor-delivery-delay-compensation</t>
  </si>
  <si>
    <t>חוק המכר (דירות) מסדיר נושא זה ומעניק לרוכשים זכות לפיצוי כספי אוטומטי.</t>
  </si>
  <si>
    <t>"פיצוי אוטומטי" מטעה — הפיצוי קבוע בחוק ללא הוכחת נזק, אך אינו משולם מעצמו; לעיתים נדרש לדרוש אותו ואף לאכוף אותו משפטית.</t>
  </si>
  <si>
    <t>חוק המכר (דירות) מסדיר נושא זה וקובע לרוכשים פיצוי כספי ללא צורך בהוכחת נזק — אם כי בפועל, לא אחת נדרש לעמוד על הזכות מול הקבלן.</t>
  </si>
  <si>
    <t>מציב ציפיות נכונות ללקוח ומסביר בעקיפין למה כדאי ליווי משפטי.</t>
  </si>
  <si>
    <t>1. עבור שמונת החודשים הראשונים של האיחור: פיצוי חודשי בגובה **150%** (פי 1.5) מדמי השכירות המקובלים בשוק. 2. החל מהחודש התשיעי ואילך: פיצוי בגובה **125%** מדמי השכירות המקובלים.</t>
  </si>
  <si>
    <t>רשימה ממוספרת שנדבקה לפסקה אחת עם Markdown גולמי, בדיוק בנתון המספרי החשוב ביותר במאמר.</t>
  </si>
  <si>
    <t>גובה הפיצוי החודשי נגזר מדמי השכירות המקובלים לדירה דומה בגודלה ובמיקומה: בשמונת חודשי האיחור הראשונים — 150% מדמי השכירות; מהחודש התשיעי ואילך — 125%. הפיצוי משולם מדי חודש, בעד החודש שחלף. (להציג כרשימה מעוצבת)</t>
  </si>
  <si>
    <t>הנתון הכספי המרכזי חייב להיות קריא ונקי — כאן הקורא מחליט אם יש לו עילה.</t>
  </si>
  <si>
    <t>מומלץ לוודא שהשיעורים תואמים את נוסח החוק לאחר תיקון מס' 9 (2022), וכן לעדכן את פסקת "כוח עליון" — התיקון עיגן במפורש את תנאי הפטור לעיכובים שאינם בשליטת הקבלן.</t>
  </si>
  <si>
    <t>הסכם חלוקת עיזבון הוא כלי משפטי ותכנוני רב עוצמה המאפשר ליורשים לחלק את נכסי העיזבון ביניהם באופן מותאם אישית, תוך ניצול הטבות מס משמעותיות.</t>
  </si>
  <si>
    <t>"רב עוצמה" — אותו ביטוי שיווקי מנופח שחוזר גם במאמר הערת האזהרה; סממן AI.</t>
  </si>
  <si>
    <t>הסכם חלוקת עיזבון הוא כלי משפטי ותכנוני יעיל, המאפשר ליורשים לחלק את נכסי העיזבון ביניהם באופן מוסכם — ובתנאים מסוימים גם ללא חבות במס.</t>
  </si>
  <si>
    <t>ענייני ומדויק, ומכין את הקורא לסעיף המס שבהמשך.</t>
  </si>
  <si>
    <t>articles/inheritance-vs-probate-order</t>
  </si>
  <si>
    <t>צו ירושה מוגש במקרים שבהם הנפטר **לא השאיר אחריו צוואה בכתב**.</t>
  </si>
  <si>
    <t>שיבוש מושגי: הצו אינו "מוגש" — מגישים בקשה לצו, והרשם מוציא אותו. השיבוש חוזר גם בפסקת צו קיום הצוואה. בנוסף Markdown גולמי.</t>
  </si>
  <si>
    <t>בקשה לצו ירושה מגישים כאשר הנפטר לא הותיר אחריו צוואה. במצב זה הרכוש מחולק לפי הוראות חוק הירושה (ירושה על פי דין).</t>
  </si>
  <si>
    <t>שימוש נכון במונחי ההליך — הבחנה בסיסית שעורך דין לא יכול לשגות בה.</t>
  </si>
  <si>
    <t>לתקן באותו אופן גם את "צו קיום צוואה מוגש במקרים שבהם...".</t>
  </si>
  <si>
    <t>articles/inherited-real-estate-disputes</t>
  </si>
  <si>
    <t>פירור לחם: "הסכמי שיתוף" | קישור תחתון: "← לתחום התמחות: צוואות וירושות"</t>
  </si>
  <si>
    <t>חוסר עקביות באותו עמוד: הקטגוריה למעלה היא "הסכמי שיתוף" ואילו קישור תחום ההתמחות למטה מפנה ל"צוואות וירושות".</t>
  </si>
  <si>
    <t>ליישר לשיוך אחד — מוצע "צוואות וירושות" גם בפירור הלחם וגם בקישור התחתון (נושא המאמר הוא נדל"ן בירושה).</t>
  </si>
  <si>
    <t>שיוך עקבי משפר ניווט ומונע בלבול לגבי מיקום המאמר באתר.</t>
  </si>
  <si>
    <t>articles/mutual-wills-spouses</t>
  </si>
  <si>
    <t>הצוואה ההדדית מבטיחה להורה השורד שקט נפשי ובעלות מלאה על הרכוש כל עוד הוא בחיים.</t>
  </si>
  <si>
    <t>"מבטיחה... שקט נפשי" — קלישאה שיווקית + הבטחת תוצאה; צוואה הדדית אינה חוסמת התנגדויות, תביעות מזונות מן העיזבון או מחלוקות אחרות.</t>
  </si>
  <si>
    <t>הצוואה ההדדית נועדה לאפשר להורה שנותר בחיים להמשיך להחזיק במלוא הרכוש — ובראשו דירת המגורים — מבלי שיידרש לממש נכסים לטובת יורשים אחרים בשלב זה.</t>
  </si>
  <si>
    <t>מתאר את תכלית הכלי במקום להבטיח תחושה ותוצאה שאינן בשליטת עורך הדין.</t>
  </si>
  <si>
    <t>Legal, Warm, Professional</t>
  </si>
  <si>
    <t>כיום, קיים כלי מהפכני, מכבד ומתקדם בהרבה: ייפוי כוח מתמשך.</t>
  </si>
  <si>
    <t>ערימת שלושה שמות תואר משווקים ("מהפכני, מכבד ומתקדם בהרבה") — נשמע כמו דף נחיתה, לא כמו עורך דין.</t>
  </si>
  <si>
    <t>כיום קיימת חלופה שמשאירה את ההחלטות בידיים שלכם: ייפוי כוח מתמשך.</t>
  </si>
  <si>
    <t>מעביר את היתרון האמיתי (שליטה אישית) בלי שמות תואר מנופחים.</t>
  </si>
  <si>
    <t>באותו מאמר גם כותרת H2 "הבדל של שמים וארץ" — מומלץ להחליף ל"ייפוי כוח מתמשך מול אפוטרופסות: מה ההבדל?".</t>
  </si>
  <si>
    <t>האדם או האנשים הממונים על ידכם נקראים "מיופיי כוח".</t>
  </si>
  <si>
    <t>שגיאת כתיב: צורת הרבים התקנית היא "מיופי כוח" (וכן "למיופי הכוח"). השגיאה חוזרת בעמוד יותר מפעם אחת.</t>
  </si>
  <si>
    <t>האדם או האנשים שאתם ממנים נקראים "מיופי כוח".</t>
  </si>
  <si>
    <t>שגיאת כתיב במונח המקצועי המרכזי של העמוד פוגעת באמינות.</t>
  </si>
  <si>
    <t>articles/real-estate-taxation-guide</t>
  </si>
  <si>
    <t>מדריך מקיף למיסוי מקרקעין בישראל מאת עו״ד אלירם אלגרבלי: כיצד מחושב מס שבח ומס רכישה, מדרגות המס המעודכנות לשנת 2026, ופטורים חוקיים לניצול.</t>
  </si>
  <si>
    <t>"פטורים חוקיים לניצול" — צירוף מביך; "ניצול" נושא קונוטציה שלילית ונשמע כעקיפת חוק.</t>
  </si>
  <si>
    <t>מדריך למיסוי מקרקעין בישראל מאת עו"ד אלירם אלגרבלי: כיצד מחושבים מס שבח ומס רכישה, מדרגות המס לשנת 2026, והפטורים שכדאי להכיר לפני העסקה.</t>
  </si>
  <si>
    <t>ניסוח נקי ששומר על מילות המפתח בלי קונוטציה בעייתית.</t>
  </si>
  <si>
    <t>articles/tma-38-choosing-developer</t>
  </si>
  <si>
    <t>הגשת מסמך אחיד מאפשרת להשוות בין ההצעות השונות "תפוחים לתפוחים".</t>
  </si>
  <si>
    <t>תרגום מילולי מאנגלית (apples to apples) — לא ביטוי עברי; חושף שהטקסט מתורגם/מחולל.</t>
  </si>
  <si>
    <t>הגשת מסמך אחיד מאפשרת להשוות בין ההצעות על בסיס זהה ולזהות הבדלים אמיתיים בתמורות.</t>
  </si>
  <si>
    <t>עברית טבעית במקום קאלק מאנגלית.</t>
  </si>
  <si>
    <t>Israeli-local, Clear</t>
  </si>
  <si>
    <t>חוסן פיננסי: יכולתו של היזם להעמיד ערבויות בנקאיות אוטונומיות מחמירות מחוק המכר, והקשרים שלו עם בנקים מלווים מובילים בישראל.</t>
  </si>
  <si>
    <t>משפט שבור תחבירית: "ערבויות... מחמירות מחוק המכר" אינו ניסוח תקין ואינו ברור.</t>
  </si>
  <si>
    <t>חוסן פיננסי: יכולתו של היזם להעמיד ערבויות בנקאיות אוטונומיות כנדרש בחוק המכר (דירות) — ואף מעבר לכך — וקשריו עם בנקים מלווים מובילים.</t>
  </si>
  <si>
    <t>משפט תקין וברור במקום ניסוח שנקרא כתקלת עריכה.</t>
  </si>
  <si>
    <t>הכלל המשפטי הנוקשה ביותר בעסקאות מקרקעין הוא: **רישום הערת אזהרה מייד לאחר החתימה**.</t>
  </si>
  <si>
    <t>זה אינו "כלל משפטי" אלא פרקטיקה מקצועית; בנוסף — Markdown גולמי גלוי לגולש.</t>
  </si>
  <si>
    <t>כלל העבודה החשוב ביותר בעסקת מקרקעין: רושמים הערת אזהרה מייד לאחר החתימה. בפרקטיקה, עורך הדין של הרוכש מגיש את הבקשה לטאבו בתוך יום-יומיים ממועד החתימה.</t>
  </si>
  <si>
    <t>מבחין נכון בין דרישת דין לפרקטיקה מקובלת ומנקה את שגיאת התצוגה.</t>
  </si>
  <si>
    <t>למיסוי מקרקעין יש משקל אדיר על הכדאיות הכלכלית של העסקה.</t>
  </si>
  <si>
    <t>"משקל אדיר על" — צירוף לא תקני (משקל אינו "על") + הגזמה לשונית אופיינית לטקסט מחולל.</t>
  </si>
  <si>
    <t>למיסוי המקרקעין השפעה מכרעת על הכדאיות הכלכלית של העסקה.</t>
  </si>
  <si>
    <t>עברית תקנית ומדודה, באותה עוצמת מסר.</t>
  </si>
  <si>
    <t>articles/sale-law-guarantee-contractor</t>
  </si>
  <si>
    <t>בטוחות אלו מבטיחות כי במקרה שהקבלן לא יוכל למסור את הדירה בשל עיקול, פירוק או פשיטת רגל, יקבל הרוכש את כספו בחזרה במלואו.</t>
  </si>
  <si>
    <t>ניסוח גורף: הערבות מבטיחה השבה של הסכומים ששולמו בפועל (בצירוף הצמדה), לא "את כספו במלואו" על כל משמעויותיו (הוצאות נלוות, עליית מחירי שוק וכד').</t>
  </si>
  <si>
    <t>בטוחות אלו מבטיחות כי אם הקבלן לא יוכל למסור את הדירה בשל עיקול, פירוק או פשיטת רגל, יושבו לרוכש הסכומים ששילם בפועל על חשבון מחיר הדירה.</t>
  </si>
  <si>
    <t>מגדיר נכון את היקף הכיסוי של ערבות חוק המכר ומונע ציפייה שגויה.</t>
  </si>
  <si>
    <t>articles/three-areas-ongoing-poa</t>
  </si>
  <si>
    <t>כותרות H2</t>
  </si>
  <si>
    <t>1. העניינים הרכושיים (Financial Affairs) / 2. העניינים האישיים (Personal Affairs) / 3. העניינים הרפואיים (Medical Affairs)</t>
  </si>
  <si>
    <t>תוספות באנגלית בסוגריים בכותרות של מאמר עברי — אין להן ערך לקורא הישראלי והן משוות לטקסט מראה מתורגם.</t>
  </si>
  <si>
    <t>1. עניינים רכושיים / 2. עניינים אישיים / 3. עניינים רפואיים</t>
  </si>
  <si>
    <t>כותרות נקיות בעברית מתאימות לקהל היעד ולשפת החוק עצמו.</t>
  </si>
  <si>
    <t>articles/urban-renewal-homeowners-committee</t>
  </si>
  <si>
    <t>איך בוחרים נציגות, מה מותר ואסור לה להחליט בשם הדיירים, ולמה ליווי משפטי עצמאי הוא תנאי בל-יעבור.</t>
  </si>
  <si>
    <t>"תנאי בל-יעבור" — שיבוש מליצי של "ייהרג ובל יעבור"; רגיסטר מוגזם שאינו מתיישב עם טון מקצועי.</t>
  </si>
  <si>
    <t>איך בוחרים נציגות, מה מותר ואסור לה להחליט בשם הדיירים, ולמה חשוב שלדיירים יהיה ליווי משפטי עצמאי משלהם.</t>
  </si>
  <si>
    <t>מסר זהה בעברית טבעית, בלי מליצה שבורה.</t>
  </si>
  <si>
    <t>Clear, Israeli-local</t>
  </si>
  <si>
    <t>articles/yield-property-due-diligence</t>
  </si>
  <si>
    <t>רכישת נדל"ן מסחרי מניב (משרדים, מרכזים מסחריים, חנויות רחוב) היא אפיק השקעה פופולרי המציע שיעורי תשואה גבוהים משמעותית משוק המגורים.</t>
  </si>
  <si>
    <t>הכללה גורפת המוצגת כעובדה ובלי אזכור הסיכון המקביל — באתר משפטי ראוי לסייג אמירות השקעה.</t>
  </si>
  <si>
    <t>רכישת נדל"ן מסחרי מניב (משרדים, מרכזים מסחריים, חנויות רחוב) היא אפיק השקעה מבוקש, המניב לרוב תשואה שוטפת גבוהה יותר מנדל"ן למגורים — לצד רמת סיכון וחשיפה משפטית גבוהות יותר.</t>
  </si>
  <si>
    <t>מאוזן ואחראי, ומוביל טבעית לנימוק של בדיקת הנאותות שהמאמר עוסק בה.</t>
  </si>
  <si>
    <t>en/articles/* (systemic - 20 articles)</t>
  </si>
  <si>
    <t>Body</t>
  </si>
  <si>
    <t>Note: **the POA grants no authority while you are fully competent**. ... * **Mas Shevach**: Paid to the National Tax Authority... 1. **Decisive Appraiser (Shamai Machria)**: ...</t>
  </si>
  <si>
    <t>Raw markdown is rendered as literal text across 20 articles: double asterisks (**bold**) and pseudo-lists ('* ' / '1. ') sit inside &lt;p&gt; tags instead of real HTML emphasis and &lt;ul&gt;/&lt;ol&gt; markup. Looks broken and machine-generated.</t>
  </si>
  <si>
    <t>Strip all ** asterisks and convert emphasis to &lt;strong&gt; tags; convert every '* ' and '1.' pseudo-list inside paragraphs into proper &lt;ul&gt;/&lt;ol&gt; list markup.</t>
  </si>
  <si>
    <t>Visible markdown artifacts instantly signal unedited AI output and destroy credibility on a law firm site.</t>
  </si>
  <si>
    <t>Affected: activation-and-supervision-ongoing-poa, betterment-levy-guide, contractor-delivery-delay-compensation, coownership-agreement-importance, estate-distribution-agreement, founders-agreement-startup-importance, inheritance-vs-probate-order, inherited-real-estate-disputes, mutual-wills-spouses, nonprofit-association-establishment-israel, ongoing-poa-importance-over-50, partition-real-estate-joint-ownership, pinui-binui-essential-clauses, protected-vs-free-commercial-lease, purchase-tax-brackets-2026, sale-law-guarantee-contractor, sole-proprietorship-vs-corporation, tma-38-choosing-developer, urban-renewal-homeowners-committee, warning-note-importance.</t>
  </si>
  <si>
    <t>en/articles/betterment-levy-guide</t>
  </si>
  <si>
    <t>**Mas Shevach**: Paid to the National Tax Authority based on financial market profit upon sale.</t>
  </si>
  <si>
    <t>Three errors in one line: "financial market profit" is gibberish (it is the gain realized on the sale of the property); the body is the "Israel Tax Authority", not "National Tax Authority"; and Mas Shevach is introduced without an English gloss for American readers.</t>
  </si>
  <si>
    <t>Land Appreciation Tax (Mas Shevach): paid to the Israel Tax Authority on the gain you realize when selling the property.</t>
  </si>
  <si>
    <t>An article whose whole point is distinguishing two taxes must describe each one accurately.</t>
  </si>
  <si>
    <t>Legal, Clear, American-facing</t>
  </si>
  <si>
    <t>Opening paragraph</t>
  </si>
  <si>
    <t>a charge imposed by local planning committees on property owners when a new local zoning plan, planning easement, or non-conforming use permit increases their property's value.</t>
  </si>
  <si>
    <t>"Planning easement" is a mistranslation of 'hakala' (a zoning relief/variance). An easement is a property right over someone else's land - a completely different legal concept in US English.</t>
  </si>
  <si>
    <t>a charge imposed by local planning committees on property owners when a new zoning plan, a zoning relief (hakala - similar to a variance), or a non-conforming use permit increases the property's value.</t>
  </si>
  <si>
    <t>Using "easement" for hakala actively misleads American readers familiar with the term.</t>
  </si>
  <si>
    <t>en/articles/construction-index-linkage</t>
  </si>
  <si>
    <t>Developers link unpaid installation balances to this index to shield themselves from material cost spikes.</t>
  </si>
  <si>
    <t>"Installation balances" is a mistranslation/typo for "installment balances" - the unpaid payment installments under the contract. "Installation" means physically installing equipment.</t>
  </si>
  <si>
    <t>Developers link the unpaid installment balance to this index to protect themselves against spikes in material costs.</t>
  </si>
  <si>
    <t>Installment/installation confusion changes the meaning and flags non-native drafting in a money-critical paragraph.</t>
  </si>
  <si>
    <t>en/articles/contractor-delivery-delay-compensation</t>
  </si>
  <si>
    <t>Outright mistranslation: the article is about statutory compensation for late apartment delivery under the Sale Law. "Zoning rules" has nothing to do with it - delayed delivery is a contract/consumer-protection issue, not zoning.</t>
  </si>
  <si>
    <t>Statutory compensation for late apartment delivery under Israel's Sale Law, the contract exemptions developers rely on, and how to enforce your rights.</t>
  </si>
  <si>
    <t>The meta description misdescribes the article's subject entirely, hurting both credibility and search relevance.</t>
  </si>
  <si>
    <t>en/articles/coownership-agreement-importance</t>
  </si>
  <si>
    <t>H2 heading</t>
  </si>
  <si>
    <t>Why registering the Agreement in Tabu is Mandatory?</t>
  </si>
  <si>
    <t>Ungrammatical heading (statement word order plus a question mark) and "in Tabu" used without the Land Registry gloss in the heading itself.</t>
  </si>
  <si>
    <t>Why the Agreement Must Be Registered with the Land Registry (Tabu)</t>
  </si>
  <si>
    <t>Heading-level grammar errors are highly visible and the Hebrish syntax is a translation artifact.</t>
  </si>
  <si>
    <t>en/articles/estate-distribution-agreement</t>
  </si>
  <si>
    <t>Under Section 5(c)(4) of the Property Tax Law, estate distribution among heirs is not considered a taxable transaction and is **exempt from Mas Shevach and Mas Rechisha**, provided only estate assets are used.</t>
  </si>
  <si>
    <t>Wrong statute name: Section 5(c)(4) belongs to the Land Taxation (Appreciation and Acquisition) Law, not a "Property Tax Law". Mas Shevach and Mas Rechisha also appear without English glosses, plus raw ** markdown.</t>
  </si>
  <si>
    <t>Under Section 5(c)(4) of Israel's Land Taxation Law, a distribution of estate assets among heirs is not treated as a taxable sale - it is exempt from both land appreciation tax (Mas Shevach) and purchase tax (Mas Rechisha), provided only estate assets are exchanged.</t>
  </si>
  <si>
    <t>Citing the wrong statute by name in a tax article is a substantive accuracy failure.</t>
  </si>
  <si>
    <t>en/articles/ongoing-poa-importance-over-50</t>
  </si>
  <si>
    <t>granting trusted representatives (spouse/children) immediate power to act on your behalf without court approvals, saving crucial time.</t>
  </si>
  <si>
    <t>Legal overclaim that contradicts the firm's own activation article: the POA grants no power while you are competent, and activation requires a medical opinion plus filing with the Administrator General - it is not "immediate power".</t>
  </si>
  <si>
    <t>so that if you ever lose capacity, the people you trust - your spouse or children - can step in under a pre-approved framework, without months of guardianship proceedings in court.</t>
  </si>
  <si>
    <t>Two articles on the same site currently state opposite things about when POA powers take effect.</t>
  </si>
  <si>
    <t>Legal, Clear, Warm</t>
  </si>
  <si>
    <t>Cross-check against en/articles/activation-and-supervision-ongoing-poa, which correctly states the POA grants no authority while the signer is competent.</t>
  </si>
  <si>
    <t>en/articles/ongoing-power-of-attorney</t>
  </si>
  <si>
    <t>A comprehensive guide to Ongoing Power of Attorney (POA) in Israel: requirements, difference from guardianship, three key areas of authority, and deposition.</t>
  </si>
  <si>
    <t>"Deposition" is a mistranslation of 'hafkada' (depositing/filing the POA with the Administrator General). In US legal English a deposition is sworn witness testimony - a jarring error for the target audience.</t>
  </si>
  <si>
    <t>A complete guide to the Ongoing Power of Attorney in Israel: who can sign one, how it differs from guardianship, the three areas of authority, and how the document is filed and activated.</t>
  </si>
  <si>
    <t>Using a false-friend US litigation term in the meta description signals translation, not expertise.</t>
  </si>
  <si>
    <t>An Ongoing POA offers several massive benefits, making it the ultimate tool for family protection: ... Preparing an Ongoing POA is the greatest gift of certainty you can give yourself and your loved ones.</t>
  </si>
  <si>
    <t>Stacked hype - "massive benefits", "the ultimate tool", "the greatest gift", plus "revolutionary alternative" in the opening. This is AI marketing voice, not the measured tone of estate-planning counsel.</t>
  </si>
  <si>
    <t>"An Ongoing POA offers clear advantages over guardianship:" ... "Preparing an Ongoing POA spares your family uncertainty, court proceedings, and conflict at the hardest possible moment - and keeps the decisions in your hands."</t>
  </si>
  <si>
    <t>Estate planning content earns trust through calm precision; superlatives do the opposite.</t>
  </si>
  <si>
    <t>Professional, Warm, Premium, Human</t>
  </si>
  <si>
    <t>Also change "a revolutionary alternative that gives you complete control over your future" to "a far better alternative that keeps control in your hands".</t>
  </si>
  <si>
    <t>en/articles/partition-real-estate-joint-ownership</t>
  </si>
  <si>
    <t>H1 title + Title tag</t>
  </si>
  <si>
    <t>Partition of Joint Real Estate: Every Owners Right &amp; How to Exercise It</t>
  </si>
  <si>
    <t>Missing apostrophe - "Every Owners Right" should be "Every Owner's Right". A grammatical error in the H1 and title tag of a law firm article is highly visible.</t>
  </si>
  <si>
    <t>Partition of Jointly Owned Real Estate: Every Owner's Right and How to Exercise It</t>
  </si>
  <si>
    <t>An apostrophe error in a headline is the first thing a literate American reader notices.</t>
  </si>
  <si>
    <t>Fix in both the &lt;title&gt; tag and the on-page H1.</t>
  </si>
  <si>
    <t>en/articles/pinui-binui-essential-clauses</t>
  </si>
  <si>
    <t>H1 title + Body</t>
  </si>
  <si>
    <t>Apartment Owners in Pinui-Binui: 10 Essential Clauses in the Developer Agreement</t>
  </si>
  <si>
    <t>The headline promises "10 Essential Clauses" but the article delivers only three numbered sections (guarantees, rental subsidies, timelines). The page reads as truncated or falsely advertised.</t>
  </si>
  <si>
    <t>Either restore the full list of ten clauses, or retitle: "Apartment Owners in Pinui-Binui: The Essential Clauses in Your Developer Agreement".</t>
  </si>
  <si>
    <t>A numbered-list headline that the content does not fulfill looks broken and erodes trust.</t>
  </si>
  <si>
    <t>Check whether the Hebrew source article contains all ten clauses and the English version was cut.</t>
  </si>
  <si>
    <t>en/articles/real-estate-taxation-guide</t>
  </si>
  <si>
    <t>2. Betterment/Capital Gains Tax (Mas Shevach)</t>
  </si>
  <si>
    <t>Calling Mas Shevach a "Betterment" tax conflates it with the betterment levy (Heitel Hashbacha) - a distinction the firm's own betterment-levy-guide article is at pains to explain. Internally contradictory terminology across the site.</t>
  </si>
  <si>
    <t>2. Land Appreciation Tax (Mas Shevach) - Israel's Capital Gains Tax on Real Estate</t>
  </si>
  <si>
    <t>Inconsistent tax terminology between sister articles confuses readers and undercuts the firm's authority on its core subject.</t>
  </si>
  <si>
    <t>en/articles/sale-law-guarantee-contractor</t>
  </si>
  <si>
    <t>To protect buyers from developer insolvency, Israeli law mandates the Sale Law (Apartments) (Assuring Investments of Apartment Buyers).</t>
  </si>
  <si>
    <t>Circular, garbled sentence - "Israeli law mandates the Sale Law" says a law requires a law. The statute name is also awkwardly rendered.</t>
  </si>
  <si>
    <t>To protect buyers against developer insolvency, the Sale (Apartments) (Assurance of Investments of Apartment Purchasers) Law requires developers to secure every shekel you pay.</t>
  </si>
  <si>
    <t>The key sentence introducing the governing statute must be grammatical and accurate.</t>
  </si>
  <si>
    <t>en/articles/sole-proprietorship-vs-corporation</t>
  </si>
  <si>
    <t>Incorporating also project status to institutional clients.</t>
  </si>
  <si>
    <t>Broken sentence - "project" should be "projects", and even corrected it is clumsy. A grammatical fragment sits in the middle of the article.</t>
  </si>
  <si>
    <t>Incorporating also signals stability and scale to institutional clients, who often prefer contracting with a company rather than an individual.</t>
  </si>
  <si>
    <t>An ungrammatical sentence fragment is a glaring defect in professional copy.</t>
  </si>
  <si>
    <t>en/articles/urban-renewal-homeowners-committee</t>
  </si>
  <si>
    <t>Condominium Representations in Urban Renewal: Authority and Conflicts of Interest</t>
  </si>
  <si>
    <t>"Representations" is a mistranslation of 'netzigut' (the residents' representative committee). In legal English, "representations" means statements of fact in a contract - a completely different concept.</t>
  </si>
  <si>
    <t>The Homeowners' Committee in Urban Renewal Projects: Authority and Conflicts of Interest</t>
  </si>
  <si>
    <t>The headline currently uses a legal term of art that means something else entirely to American readers.</t>
  </si>
  <si>
    <t>The body already uses "homeowners committee" correctly - align the title and &lt;title&gt; tag with it.</t>
  </si>
  <si>
    <t>en/articles/warning-note-importance</t>
  </si>
  <si>
    <t>a warning note gives the buyer absolute legal priority over the seller's other creditors. If liens are placed on the seller's assets, or if the seller enters bankruptcy after the warning note is registered, the buyer's contractual rights remain fully protected.</t>
  </si>
  <si>
    <t>"Absolute legal priority" overclaims: a warning note protects against subsequently registered transactions and liens, not against encumbrances recorded before it. "Fully protected" compounds the overstatement.</t>
  </si>
  <si>
    <t>a registered warning note gives the buyer priority over the seller's subsequent creditors. If liens attach to the seller's assets, or the seller enters insolvency after the note is registered, the buyer's contractual rights are shielded from those later claims.</t>
  </si>
  <si>
    <t>Overstating the scope of protection is exactly the kind of claim that can come back at a law firm.</t>
  </si>
  <si>
    <t>en/articles/* (systemic - 4+ articles)</t>
  </si>
  <si>
    <t>H1 title / Title tag / Breadcrumb</t>
  </si>
  <si>
    <t>Guide to Buying Second-Hand Properties in Israel ... Building Violations in Second-Hand Homes ... The Complete Due Diligence Guide Before Buying a Second-Hand Property ... breadcrumb: Second-Hand Property</t>
  </si>
  <si>
    <t>"Second-hand" is a literal translation of 'yad shniya' and sounds like used furniture to American readers. US real-estate English says "resale" or "existing home".</t>
  </si>
  <si>
    <t>Replace "second-hand" with "resale" throughout titles, breadcrumbs, and body copy, e.g. "Buying a Resale Home in Israel: The Complete Legal Guide" and breadcrumb category "Resale Properties".</t>
  </si>
  <si>
    <t>American buyers search and think in terms of 'resale homes', not 'second-hand properties'.</t>
  </si>
  <si>
    <t>Affected: buying-second-hand-property, due-diligence-second-hand-home, construction-violations-second-hand, plus the 'Second-Hand Property' breadcrumb on warning-note-importance.</t>
  </si>
  <si>
    <t>en/articles/* (systemic - currency formatting)</t>
  </si>
  <si>
    <t>a complete tax exemption on values up to approximately 1,970,000 NIS ... can add tens of thousands of Shekels ... save you tens or hundreds of thousands of Shekels ... annual net profits exceed 250,000 NIS</t>
  </si>
  <si>
    <t>Currency style is inconsistent and Hebrish: amount-before-NIS ordering, capitalized "Shekels", and no dollar context for American readers who do not know shekel values.</t>
  </si>
  <si>
    <t>Standardize to "NIS 1,970,000 (roughly $520,000)" style: currency code first, lowercase "shekels" in prose, and add an approximate USD figure the first time a large NIS amount appears in each article.</t>
  </si>
  <si>
    <t>US-facing readers need NIS amounts anchored in dollars, and consistent currency style reads as professionally edited.</t>
  </si>
  <si>
    <t>Affected: purchase-tax-brackets-2026, construction-index-linkage, real-estate-taxation-guide, sole-proprietorship-vs-corporation; also meta description of due-diligence-second-hand-home ("can cost you hundreds of thousands" - of what currency?).</t>
  </si>
  <si>
    <t>en/articles/* (systemic - inflated language)</t>
  </si>
  <si>
    <t>a Partition Suit is the ultimate legal remedy ... Taxation plays a massive role ... Warning Note: The Most Crucial Legal Shield for Property Buyers</t>
  </si>
  <si>
    <t>AI-inflated superlatives ("ultimate", "massive", "The Most Crucial") recur across articles. Top-tier US law firm copy states facts plainly and lets the substance carry weight.</t>
  </si>
  <si>
    <t>Tone down: "a partition suit is the principal legal remedy under Israeli law"; "Taxation plays a central role"; "The Warning Note: A Buyer's First Line of Protection".</t>
  </si>
  <si>
    <t>Hype erodes the trustworthy, precise voice the brand needs; understatement reads as confidence.</t>
  </si>
  <si>
    <t>Professional, Premium, Legal</t>
  </si>
  <si>
    <t>Affected: partition-real-estate-joint-ownership, real-estate-taxation-guide, warning-note-importance (title), and most acutely ongoing-power-of-attorney (separate finding).</t>
  </si>
  <si>
    <t>en/articles/* (systemic - several articles)</t>
  </si>
  <si>
    <t>H2 headings</t>
  </si>
  <si>
    <t>How to Appeal a Betterment Levy Assessment? ... How to Negotiate and Minimize Index Linkage? ... How to Lawfully Elect a Homeowners Committee? ... What to Check Before Contract Signing?</t>
  </si>
  <si>
    <t>"How to..." headings ending in a question mark are ungrammatical in English - they are infinitive phrases, not questions. A common Hebrew-to-English translation tic.</t>
  </si>
  <si>
    <t>Drop the question marks: "How to Appeal a Betterment Levy Assessment", "How to Negotiate and Minimize Index Linkage", "How to Lawfully Elect a Homeowners Committee", "What to Verify Before Signing".</t>
  </si>
  <si>
    <t>Native English headings of this form never take a question mark; the error repeats across articles.</t>
  </si>
  <si>
    <t>Affected: betterment-levy-guide, construction-index-linkage, urban-renewal-homeowners-committee, sale-law-guarantee-contractor, coownership-agreement-importance.</t>
  </si>
  <si>
    <t>en/articles/buying-second-hand-property</t>
  </si>
  <si>
    <t>A common mistake is negotiating without a written "Approval in Principle" (Ishur Ekroni) from mortgage banks.</t>
  </si>
  <si>
    <t>"Approval in Principle" is UK banking English; the American term is "mortgage pre-approval". Transliteration is also off - 'Ishur Ikroni'.</t>
  </si>
  <si>
    <t>A common mistake is negotiating without a written mortgage pre-approval (Ishur Ikroni) from the bank, confirming how much financing you can rely on.</t>
  </si>
  <si>
    <t>Using the US term makes the advice instantly familiar to American buyers financing an Israeli purchase.</t>
  </si>
  <si>
    <t>Conclusion</t>
  </si>
  <si>
    <t>Professional legal counsel specialized in real estate is your insurance policy for a safe transaction and clean title registration.</t>
  </si>
  <si>
    <t>Missed American-facing opportunity: US buyers assume title insurance exists. Israel has none - the attorney's due diligence and the warning note fill that role. Saying so makes the metaphor land and explains why Israeli buyers need their own counsel.</t>
  </si>
  <si>
    <t>Unlike in the United States, there is no title insurance in Israel - your attorney's due diligence and the registered warning note are what stand between you and a defective title. Experienced real estate counsel is, quite literally, your insurance policy for a safe transaction.</t>
  </si>
  <si>
    <t>This single contextual fact answers the question every American buyer silently asks and sharpens the firm's value proposition.</t>
  </si>
  <si>
    <t>American-facing, Warm, Legal, Premium</t>
  </si>
  <si>
    <t>The same one-line context would also strengthen en/articles/warning-note-importance and en/articles/due-diligence-second-hand-home.</t>
  </si>
  <si>
    <t>en/articles/capital-gains-tax-exemptions</t>
  </si>
  <si>
    <t>Capital Gains Tax (Mas Shevach): Exemptions to Know Before Selling</t>
  </si>
  <si>
    <t>Mas Shevach is formally the Land Appreciation Tax; flatly labeling it "Capital Gains Tax" is a simplification, and the opening line "involves Capital Gains Tax (Mas Shevach) representing 25% of the real profit" is awkward ("representing", "real profit").</t>
  </si>
  <si>
    <t>Title: "Land Appreciation Tax (Mas Shevach): Exemptions to Know Before Selling". Opening: "When you sell residential property in Israel, the sale is subject to Land Appreciation Tax (Mas Shevach) - Israel's capital gains tax on real estate - levied at 25% of the inflation-adjusted gain."</t>
  </si>
  <si>
    <t>Precise naming with a capital-gains gloss serves American readers without sacrificing legal accuracy.</t>
  </si>
  <si>
    <t>Legal, American-facing, Professional</t>
  </si>
  <si>
    <t>Align with the suggested fix to real-estate-taxation-guide so the whole site uses one consistent term.</t>
  </si>
  <si>
    <t>3. The Beneficiary Linear Calculation</t>
  </si>
  <si>
    <t>"Beneficiary Linear Calculation" is a word-for-word rendering of 'linearit mutevet' that means nothing in English. No American reader can parse it.</t>
  </si>
  <si>
    <t>3. The Reduced "Linear" Calculation for Pre-2014 Gains</t>
  </si>
  <si>
    <t>Headings must be self-explanatory in English, not transliterated Hebrew jargon.</t>
  </si>
  <si>
    <t>Clear, Legal, American-facing</t>
  </si>
  <si>
    <t>The paragraph below it explains the mechanism well; only the heading needs fixing.</t>
  </si>
  <si>
    <t>1. Setting the latest baseline index (the contract signing month instead of earlier calls).</t>
  </si>
  <si>
    <t>"Earlier calls" is incomprehensible - apparently a garbled translation of the "known index" at an earlier date. The negotiation tip is unintelligible as written.</t>
  </si>
  <si>
    <t>1. Setting the most recent possible baseline index - the index for the month of signing, rather than an earlier "known index" that inflates the linkage from day one.</t>
  </si>
  <si>
    <t>A negotiation tip the reader cannot understand is worse than no tip at all.</t>
  </si>
  <si>
    <t>H2 + Body</t>
  </si>
  <si>
    <t>Following an important legal reform, developers are prohibited from linking the entire apartment price to the index. Today, only a maximum of 40% of the property value can be linked</t>
  </si>
  <si>
    <t>"An important legal reform" is vague filler. Naming the actual amendment (the 2022 amendment to the Sale Law) gives the claim authority and a date readers can verify.</t>
  </si>
  <si>
    <t>Under a 2022 amendment to the Sale Law, developers may no longer link the entire apartment price to the index. Today, no more than 40% of the price may be index-linked, while the remaining 60% stays fixed.</t>
  </si>
  <si>
    <t>Specific legal citations are what distinguish attorney-written content from generic AI copy.</t>
  </si>
  <si>
    <t>en/articles/construction-violations-second-hand</t>
  </si>
  <si>
    <t>Examples include closing balconies, constructing wooden galleries, adding unpermitted yards sheds, splitting the apartment, or modifying exterior walls.</t>
  </si>
  <si>
    <t>Two errors: "wooden galleries" is a Hebrish rendering of 'galeria' (an interior loft/mezzanine - 'gallery' means an art space in English), and "yards sheds" is broken grammar for "yard sheds".</t>
  </si>
  <si>
    <t>Examples include enclosing balconies, building interior lofts (mezzanines), adding unpermitted storage sheds in the yard, splitting an apartment into units, or altering exterior walls.</t>
  </si>
  <si>
    <t>Both terms confuse American readers and mark the text as machine-translated.</t>
  </si>
  <si>
    <t>Legally, criminal liability for zoning violations transfers to the new owner upon ownership transfer.</t>
  </si>
  <si>
    <t>Overbroad legal claim. Criminal liability does not simply "transfer"; the new owner becomes exposed because continuing to use an unpermitted structure is itself an offense. As written it overstates and slightly misstates the law.</t>
  </si>
  <si>
    <t>Once title passes, the new owner can face enforcement proceedings - including fines and demolition orders - for maintaining or using the unpermitted construction, even though the violation predates the purchase.</t>
  </si>
  <si>
    <t>A law firm cannot afford imprecise statements about criminal exposure.</t>
  </si>
  <si>
    <t>The Sale Law provides structured rights for automated financial compensation.</t>
  </si>
  <si>
    <t>"Automated" is the wrong word - the compensation is "automatic" (owed by operation of law), not produced by automation. The same error appears in sale-law-guarantee-contractor ("triggers the automated issuance of a Sale Law guarantee").</t>
  </si>
  <si>
    <t>The Sale Law gives buyers a statutory right to automatic financial compensation - no lawsuit needed to establish liability.</t>
  </si>
  <si>
    <t>Automated/automatic confusion is a classic non-native error that undermines legal precision.</t>
  </si>
  <si>
    <t>Also fix in en/articles/sale-law-guarantee-contractor: "triggers the automatic issuance of a Sale Law guarantee".</t>
  </si>
  <si>
    <t>Meta description + Opening paragraph</t>
  </si>
  <si>
    <t>...and why registry in Tabu changes everything. / Joint ownership of real estate (Mushea - properties registered under multiple owners without physical subdivision)</t>
  </si>
  <si>
    <t>"Registry in Tabu" should be "registration", Tabu appears unglossed in the meta, and "Mushea" is a nonstandard transliteration of mush'a that adds noise rather than clarity.</t>
  </si>
  <si>
    <t>Meta: "What a co-ownership agreement should cover - usage rights, expenses, deadlock resolution - and why registering it with the Israeli Land Registry (Tabu) changes everything." Opening: "Joint ownership of real estate (mush'a - undivided shares held by multiple owners)..."</t>
  </si>
  <si>
    <t>Hebrew terms need clean transliteration and a one-time English gloss for American readers.</t>
  </si>
  <si>
    <t>en/articles/due-diligence-second-hand-home</t>
  </si>
  <si>
    <t>1. Proprietary Inspection: Land Registry and Title Verification</t>
  </si>
  <si>
    <t>"Proprietary Inspection" is a literal rendering of 'bdika kinyanit' and means nothing in English - "proprietary" suggests trade secrets. The concept is a title search.</t>
  </si>
  <si>
    <t>1. Title Search: Verifying Ownership at the Land Registry (Tabu)</t>
  </si>
  <si>
    <t>"Title search" is the exact American term for this step and the heading should use it.</t>
  </si>
  <si>
    <t>Same article: "The Tabu extract provides a full legal identity card for the apartment" is a Hebrew idiom - consider "The Tabu extract is, in effect, the property's legal ID".</t>
  </si>
  <si>
    <t>en/articles/founders-agreement-startup-importance</t>
  </si>
  <si>
    <t>However, research shows that the absence of a written Founders' Agreement is one of the main reasons young ventures collapse.</t>
  </si>
  <si>
    <t>Unattributed "research shows" is classic AI filler. Either cite the source or drop the pseudo-empirical framing.</t>
  </si>
  <si>
    <t>In practice, the absence of a written founders' agreement is one of the most common reasons early-stage ventures fall apart - and one of the easiest to prevent.</t>
  </si>
  <si>
    <t>Unverifiable claims dressed as research weaken trust; experience-based framing suits a practicing attorney better.</t>
  </si>
  <si>
    <t>Professional, Human, Clear</t>
  </si>
  <si>
    <t>en/articles/inheritance-vs-probate-order</t>
  </si>
  <si>
    <t>To register inherited property, clear bank accounts, or manage the estate, you must obtain a formal order from the Registrar of Inheritance.</t>
  </si>
  <si>
    <t>Body says "Registrar of Inheritance" while the meta says "Registrar of Inheritance Affairs" - inconsistent naming. Also a missed chance to orient American readers, for whom the natural reference point is US probate court.</t>
  </si>
  <si>
    <t>To register inherited property, release bank accounts, or administer the estate, you must first obtain a formal order from the Registrar of Inheritance Affairs - Israel's administrative counterpart to a US probate court filing.</t>
  </si>
  <si>
    <t>Consistent terminology plus a one-line US analogy makes the Israeli process immediately legible to American heirs.</t>
  </si>
  <si>
    <t>American-facing, Legal, Warm</t>
  </si>
  <si>
    <t>Particularly relevant for Jewish-American families inheriting Israeli property from abroad.</t>
  </si>
  <si>
    <t>en/articles/inherited-real-estate-disputes</t>
  </si>
  <si>
    <t>Inheriting a property with siblings is a great asset, but registered co-ownership among multiple heirs can quickly spiral into legal disputes over property management.</t>
  </si>
  <si>
    <t>Illogical phrasing - inheriting is an event, not "a great asset" - and "is a great asset, but" is clumsy AI-style hedging.</t>
  </si>
  <si>
    <t>An inherited apartment can be a meaningful family asset - but when several siblings hold it as registered co-owners, disagreements over its management can quickly harden into legal disputes.</t>
  </si>
  <si>
    <t>The opening sentence of an article should not contain a category error.</t>
  </si>
  <si>
    <t>Clear, Warm, Professional</t>
  </si>
  <si>
    <t>The occupying heir must pay "reasonable usage fees" (rent) to the other heirs.</t>
  </si>
  <si>
    <t>Legal overclaim: the duty to pay usage fees is not automatic - it depends on the circumstances (e.g., whether the other heirs were excluded) and typically requires a demand or court determination.</t>
  </si>
  <si>
    <t>In many cases, the occupying heir can be required to pay the other heirs "reasonable usage fees" - effectively rent for their shares - particularly where they are excluded from using the property.</t>
  </si>
  <si>
    <t>Stating a conditional right as an absolute rule misadvises readers and overpromises.</t>
  </si>
  <si>
    <t>en/articles/mutual-wills-spouses</t>
  </si>
  <si>
    <t>When a mutual will is the right choice, and what happens when the surviving spouse wishes to modify their wishes.</t>
  </si>
  <si>
    <t>"Wishes to modify their wishes" - clumsy word repetition in a 20-word meta description.</t>
  </si>
  <si>
    <t>When a mutual will is the right choice for spouses, and what happens if the surviving spouse later wants to change the terms.</t>
  </si>
  <si>
    <t>Meta descriptions are the firm's storefront in search results and must read cleanly.</t>
  </si>
  <si>
    <t>en/articles/nonprofit-association-establishment-israel</t>
  </si>
  <si>
    <t>H2 heading + Body</t>
  </si>
  <si>
    <t>Step 2: Mandatory Association Organs / The law requires every association to maintain three organs:</t>
  </si>
  <si>
    <t>"Organs" is a literal translation of the Hebrew legal term; in American English it reads as anatomy. The standard rendering is "governing bodies".</t>
  </si>
  <si>
    <t>Heading: "Step 2: Mandatory Governing Bodies". Body: "The law requires every Amuta to maintain three governing bodies:"</t>
  </si>
  <si>
    <t>"Association organs" is unintentionally comic to US readers and obscures the meaning.</t>
  </si>
  <si>
    <t>American-facing, Professional, Clear</t>
  </si>
  <si>
    <t>Also consider naming the regulator precisely: Amutot are supervised by the Registrar of Amutot at the Israeli Corporations Authority, not generically by "Ministry of Justice regulations".</t>
  </si>
  <si>
    <t>By law, it can only be drafted by an authorized attorney certified by the Ministry of Justice and the Administrator General who holds no personal interest in the estate.</t>
  </si>
  <si>
    <t>Garbled syntax: as written, it is the Administrator General who "holds no personal interest in the estate". The no-interest requirement applies to the drafting attorney.</t>
  </si>
  <si>
    <t>By law, an Ongoing POA may only be drafted by an attorney who has completed the certification of the Ministry of Justice and the Administrator General, and who has no personal interest in the document.</t>
  </si>
  <si>
    <t>A dangling modifier in a sentence about legal certification requirements creates real ambiguity.</t>
  </si>
  <si>
    <t>Receivership sales can result in lower prices due to court fees. An experienced attorney will guide partners toward an internal auction or agreed-upon market sale to maximize returns and avoid fees.</t>
  </si>
  <si>
    <t>Faulty causation: receivership sales fetch lower prices mainly because of forced-sale conditions and limited marketing - court and receiver fees are an additional cost on top, not the cause of the low price.</t>
  </si>
  <si>
    <t>Court-supervised receivership sales typically yield below-market prices and add receiver and court fees on top. An experienced attorney will steer co-owners toward an internal buyout or a negotiated open-market sale, which usually nets each party significantly more.</t>
  </si>
  <si>
    <t>The current sentence gets the economics wrong, which matters in an article giving strategic advice.</t>
  </si>
  <si>
    <t>A Pinui-Binui project is a complex deal where owners surrender old apartments for demolition in exchange for new ones.</t>
  </si>
  <si>
    <t>"Pinui-Binui" is never glossed for American readers, who have no way to parse the Hebrew term in the title or body.</t>
  </si>
  <si>
    <t>A Pinui-Binui ("evacuate-and-rebuild") project - Israel's flagship urban-renewal track - is a complex transaction in which owners hand over their old apartments for demolition in exchange for new ones in the rebuilt complex.</t>
  </si>
  <si>
    <t>Every Hebrew term on the English site needs a one-time English gloss at first use.</t>
  </si>
  <si>
    <t>en/articles/protected-vs-free-commercial-lease</t>
  </si>
  <si>
    <t>While standard leases expire after a set term, protected tenancies: * **Rent Rates**: Are determined by government regulations and do not reflect market rates.</t>
  </si>
  <si>
    <t>Broken construction: the lead-in sentence dangles into a pseudo-list whose items ("Rent Rates: Are determined...") do not grammatically complete it. The result is an unreadable hybrid sentence.</t>
  </si>
  <si>
    <t>While standard leases expire at the end of their term, protected tenancies work differently: rent is set by government regulation, far below market rates, and eviction is possible only on narrow statutory grounds such as non-payment or abandonment.</t>
  </si>
  <si>
    <t>The sentence as rendered is grammatically incoherent, independent of the markdown artifact issue.</t>
  </si>
  <si>
    <t>Clear, Professional, Legal</t>
  </si>
  <si>
    <t>H1 title + Opening paragraph</t>
  </si>
  <si>
    <t>Sole Proprietorship vs. LTD Company: The Legal Guide to Choosing Your Business Entity ... registering as a Sole Proprietorship (Osek Murshe) or incorporating as a Limited Company (LTD) at the Corporations Authority.</t>
  </si>
  <si>
    <t>"LTD Company" is non-idiomatic (LTD all-caps as a noun), and "Corporations Authority" omits the actual registering body. US readers also benefit from an LLC/Inc. reference point.</t>
  </si>
  <si>
    <t>Title: "Sole Proprietorship vs. Ltd. Company in Israel: Choosing the Right Business Entity". Body: "...or incorporating a private limited company (Ltd. - the Israeli counterpart of a US LLC or corporation) with the Israeli Registrar of Companies."</t>
  </si>
  <si>
    <t>Correct entity terminology and a US analogy make the piece useful to American entrepreneurs setting up in Israel.</t>
  </si>
  <si>
    <t>American-facing, Legal, Professional</t>
  </si>
  <si>
    <t>en/articles/tma-38-choosing-developer</t>
  </si>
  <si>
    <t>Choosing the developer for your TMA 38 project is the most critical decision homeowners must make.</t>
  </si>
  <si>
    <t>"TMA 38" is never explained. American readers have no idea it refers to Israel's National Outline Plan 38 seismic retrofit/rebuild program; also the more common English spelling is "Tama 38".</t>
  </si>
  <si>
    <t>Choosing the developer for your Tama 38 project - Israel's national program for seismically reinforcing and rebuilding older apartment buildings - is the most consequential decision the homeowners will make.</t>
  </si>
  <si>
    <t>An unglossed Hebrew acronym in the title and opening leaves the target audience locked out of the article.</t>
  </si>
  <si>
    <t>Apply the gloss once in the opening; the title can keep "Tama 38" for search purposes.</t>
  </si>
  <si>
    <t>they must sign a conflict of interest waiver, report all developer meetings, and ensure the owners' attorney is loyal strictly to the residents.</t>
  </si>
  <si>
    <t>"Conflict of interest waiver" inverts the meaning - a waiver would forgive conflicts. What committee members sign is a disclosure or an undertaking to avoid conflicts. "Loyal strictly to" is also awkward.</t>
  </si>
  <si>
    <t>they should sign a conflict-of-interest undertaking, report every meeting held with the developer, and make sure the owners' attorney answers exclusively to the residents - never to the developer.</t>
  </si>
  <si>
    <t>The current wording describes the opposite of the intended safeguard.</t>
  </si>
  <si>
    <t>en/articles/yield-property-due-diligence</t>
  </si>
  <si>
    <t>Buying Yield-Generating Property: Legal Due Diligence Beyond the Cap Rate</t>
  </si>
  <si>
    <t>"Yield-generating property" is a literal translation of 'nechess meniv'. The standard US term is "income-producing property" (or "investment property"). The opening sentence also repeats: "yield-generating... offers higher yields".</t>
  </si>
  <si>
    <t>Title: "Buying Income-Producing Property in Israel: Legal Due Diligence Beyond the Cap Rate". Opening: "Income-producing commercial real estate in Israel typically offers higher returns than residential - along with legal and planning risks that demand careful due diligence."</t>
  </si>
  <si>
    <t>American investors - a core audience for Israeli commercial property - search and speak in terms of income-producing assets.</t>
  </si>
  <si>
    <t>American-facing, Professional, Premium</t>
  </si>
  <si>
    <t>Keeping "Cap Rate" is good - it is exactly the right American investor vocabulary.</t>
  </si>
  <si>
    <t>en/articles/* (systemic - all articles)</t>
  </si>
  <si>
    <t>Body (date stamp)</t>
  </si>
  <si>
    <t>15.01.2026 • 4 min read</t>
  </si>
  <si>
    <t>European DD.MM.YYYY date format on English pages; Americans read 15.01.2026 as ambiguous or foreign.</t>
  </si>
  <si>
    <t>January 15, 2026 • 4 min read</t>
  </si>
  <si>
    <t>US date conventions are a small but telling signal that the English site was written for Americans.</t>
  </si>
  <si>
    <t>American-facing, Clear</t>
  </si>
  <si>
    <t>Applies to the date stamp on every English article page.</t>
  </si>
  <si>
    <t>en/articles/betterment-levy-exemption-mamad</t>
  </si>
  <si>
    <t>Body (closing) + Breadcrumb</t>
  </si>
  <si>
    <t>Legal Citation: [ערר (ועדות ערר - תכנון ובנייה מרכז) 8001-01-25 הוועדה המקומית לתכנון ובניה ראשון לציון נ' ישעיהו זילונקה ואח' (נבו 3.12.2025)].</t>
  </si>
  <si>
    <t>The English page ends with a citation rendered entirely in Hebrew, unreadable to the target audience. The breadcrumb category "Legal Ruling" is also an odd singular rendering of the Hebrew "case-law updates".</t>
  </si>
  <si>
    <t>Case citation: Appeal 8001-01-25, Local Planning and Building Committee of Rishon LeZion v. Zilonka et al., Central District Planning Appeal Committee (Nevo, Dec. 3, 2025) - with the original Hebrew citation in parentheses if desired. Breadcrumb: "Case Law Updates".</t>
  </si>
  <si>
    <t>An English-language case note should give readers a citation they can actually read.</t>
  </si>
  <si>
    <t>This article also defines "Mamad" well in the body - keep that gloss pattern as the model for other articles.</t>
  </si>
  <si>
    <t>en/articles/commercial-lease-agreement-tips</t>
  </si>
  <si>
    <t>Securing a renewal option is crucial for commercial tenants who invest heavily in fit-outs.</t>
  </si>
  <si>
    <t>"Fit-outs" is British/Israeli commercial-property jargon; American usage is "build-out" or "tenant improvements".</t>
  </si>
  <si>
    <t>Securing a renewal option is essential for commercial tenants who invest heavily in their build-out (tenant improvements).</t>
  </si>
  <si>
    <t>Small vocabulary choices like this determine whether the site reads as written for Americans.</t>
  </si>
  <si>
    <t>en/articles/purchase-tax-brackets-2026</t>
  </si>
  <si>
    <t>Purchasing residential property in Israel triggers Purchase Tax (Mas Rechisha) which must be paid by the buyer within 60 days of the deal.</t>
  </si>
  <si>
    <t>"Within 60 days of the deal" is colloquial and vague - the statutory deadline runs from the date of signing the purchase contract. Missing comma before "which" as well.</t>
  </si>
  <si>
    <t>Purchasing residential property in Israel triggers Purchase Tax (Mas Rechisha), which the buyer must pay within 60 days of signing the purchase contract.</t>
  </si>
  <si>
    <t>Deadlines in tax articles must be anchored to a precise legal trigger, not "the deal".</t>
  </si>
  <si>
    <t>This article handles the Olim relief well - it already names Aliyah and glosses "Olim Hadashim (New Immigrants)"; mirror that approach elsewhere on the site.</t>
  </si>
  <si>
    <t>What is a warning note (He`arat Azhara), when is it registered, and the risks of paying money before it is secured.</t>
  </si>
  <si>
    <t>A backtick (He`arat) instead of an apostrophe, inconsistent with "He'arat Azhara" in the body; "paying money" is redundant.</t>
  </si>
  <si>
    <t>What a warning note (He'arat Azhara) is, when it should be registered, and the risks of transferring funds before it is in place.</t>
  </si>
  <si>
    <t>Typographic glitches in search snippets undermine the polish a premium firm needs.</t>
  </si>
  <si>
    <t>privacy/index.html</t>
  </si>
  <si>
    <t>תוכן המדיניות</t>
  </si>
  <si>
    <t>משרד עורכי דין אלירם אלגרבלי מייחס חשיבות עליונה לשמירה על פרטיותם של הגולשים...</t>
  </si>
  <si>
    <t>"חשיבות עליונה" קלישאה. חשוב מזה: המדיניות לא מזכירה Cookies/אנליטיקה, זכויות עיון ומחיקה לפי חוק הגנת הפרטיות (כולל תיקון 13 שנכנס לתוקף 2025), ומועדי שמירת מידע.</t>
  </si>
  <si>
    <t>פרטיותכם חשובה לנו. מדיניות זו מסבירה איזה מידע נאסף באתר, למה הוא משמש ואילו זכויות עומדות לכם לפי חוק הגנת הפרטיות, התשמ"א-1981.</t>
  </si>
  <si>
    <t>פתיח ענייני + הפניה לחוק; מומלץ להשלים סעיפי Cookies וזכויות נושא המידע.</t>
  </si>
  <si>
    <t>תיקון 13 לחוק הגנת הפרטיות מחייב היערכות - כדאי ייעוץ נקודתי</t>
  </si>
  <si>
    <t>accessibility/index.html</t>
  </si>
  <si>
    <t>הצהרת נגישות</t>
  </si>
  <si>
    <t>בהתאם להמלצות התקן הישראלי ת״י 5568 המבוסס על הנחיות WCAG 2.0 ברמת התאמה AA</t>
  </si>
  <si>
    <t>נכון משפטית, אבל כדאי לציין גם שאיפה ל-WCAG 2.1 (הסטנדרט המקובל כיום) ולוודא שפרטי רכז הנגישות מלאים אם נדרש.</t>
  </si>
  <si>
    <t>להוסיף: "בפועל אנו שואפים לעמוד גם בהנחיות WCAG 2.1 AA המעודכנות."</t>
  </si>
  <si>
    <t>משדר עדכניות בלי לוותר על הדיוק המשפטי.</t>
  </si>
  <si>
    <t>disclaimer/index.html</t>
  </si>
  <si>
    <t>EN paragraph 1</t>
  </si>
  <si>
    <t>They do not constitute formal legal advice, legal opinion, or dynamic transaction recommendations.</t>
  </si>
  <si>
    <t>"Dynamic transaction recommendations" is meaningless AI filler - in a legal disclaimer, of all places.</t>
  </si>
  <si>
    <t>They do not constitute legal advice, a legal opinion, or a recommendation to enter into any transaction.</t>
  </si>
  <si>
    <t>A disclaimer must be precise; the current phrase weakens it.</t>
  </si>
  <si>
    <t>כל האתר</t>
  </si>
  <si>
    <t>חתימת מחבר בכרטיסי מאמרים</t>
  </si>
  <si>
    <t>מומחה למקרקעין / Real Estate Attorney; ובעמודי מאמרים: "עורך דין מומחה לנדל"ן ומקרקעין"</t>
  </si>
  <si>
    <t>כללי לשכת עורכי הדין (פרסומת) מגבילים הצגה כ"מומחה". המילה חוזרת 222 פעמים באתר. חשיפה אתית מיותרת.</t>
  </si>
  <si>
    <t>עו״ד נדל"ן ומקרקעין | EN: Real Estate Attorney (ללא Expert)</t>
  </si>
  <si>
    <t>מסר זהה כמעט, בלי חשיפה מול ועדת האתיקה.</t>
  </si>
  <si>
    <t>מומלץ לוודא מול כללי הפרסומת העדכניים של הלשכה</t>
  </si>
  <si>
    <t>כל האתר (פוטר)</t>
  </si>
  <si>
    <t>תיאור משרד בפוטר המאמרים</t>
  </si>
  <si>
    <t>מעניקים יחס אישי ומקצועיות ללא פשרות מאז שנת 2013</t>
  </si>
  <si>
    <t>"ללא פשרות" - הקלישאה השיווקית הנפוצה ביותר באתרי AI; מופיעה בפוטר של כל עמודי המאמרים.</t>
  </si>
  <si>
    <t>יחס אישי ועבודה יסודית, מאז 2013.</t>
  </si>
  <si>
    <t>אותו מסר בלי סיסמה.</t>
  </si>
  <si>
    <t>שינוי אחד בתבנית מתקן את כל העמודים</t>
  </si>
  <si>
    <t>en/index.html + en pages</t>
  </si>
  <si>
    <t>Dates on article cards</t>
  </si>
  <si>
    <t>20.04.2026</t>
  </si>
  <si>
    <t>DD.MM.YYYY format reads as April 20 being '20.04' - confusing for Americans who expect MM/DD/YYYY or written-out dates.</t>
  </si>
  <si>
    <t>April 20, 2026</t>
  </si>
  <si>
    <t>Written-out dates are unambiguous for both audiences.</t>
  </si>
  <si>
    <t>EN pages only; keep DD.MM.YYYY on Hebrew pages</t>
  </si>
  <si>
    <t>סיכום ביקורת תוכן - אתר משרד עו"ד אלירם אלגרבלי</t>
  </si>
  <si>
    <t>סה"כ ממצאים</t>
  </si>
  <si>
    <t>עדיפות High</t>
  </si>
  <si>
    <t>עדיפות Medium</t>
  </si>
  <si>
    <t>עדיפות Low</t>
  </si>
  <si>
    <t>ממצאים בעברית</t>
  </si>
  <si>
    <t>ממצאים באנגלית</t>
  </si>
  <si>
    <t>הערה: לא בוצע שום שינוי בקבצי האתר. כל ההצעות לעיון ואישור בלבד.</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</si>
</sst>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rgb="FFFFFFFF"/>
      <name val="Arial"/>
    </font>
    <font>
      <sz val="10.0"/>
      <color theme="1"/>
      <name val="Arial"/>
    </font>
    <font>
      <b/>
      <sz val="13.0"/>
      <color theme="1"/>
      <name val="Arial"/>
    </font>
    <font>
      <b/>
      <sz val="11.0"/>
      <color theme="1"/>
      <name val="Arial"/>
    </font>
    <font>
      <sz val="11.0"/>
      <color theme="1"/>
      <name val="Arial"/>
    </font>
    <font>
      <i/>
      <sz val="11.0"/>
      <color theme="1"/>
      <name val="Arial"/>
    </font>
  </fonts>
  <fills count="6">
    <fill>
      <patternFill patternType="none"/>
    </fill>
    <fill>
      <patternFill patternType="lightGray"/>
    </fill>
    <fill>
      <patternFill patternType="solid">
        <fgColor rgb="FF1F3A5F"/>
        <bgColor rgb="FF1F3A5F"/>
      </patternFill>
    </fill>
    <fill>
      <patternFill patternType="solid">
        <fgColor rgb="FFF8CBAD"/>
        <bgColor rgb="FFF8CBAD"/>
      </patternFill>
    </fill>
    <fill>
      <patternFill patternType="solid">
        <fgColor rgb="FFFFE699"/>
        <bgColor rgb="FFFFE699"/>
      </patternFill>
    </fill>
    <fill>
      <patternFill patternType="solid">
        <fgColor rgb="FFC6EFCE"/>
        <bgColor rgb="FFC6EFCE"/>
      </patternFill>
    </fill>
  </fills>
  <borders count="2">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Alignment="1" applyBorder="1" applyFont="1">
      <alignment readingOrder="0"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shrinkToFit="0" vertical="top" wrapText="1"/>
    </xf>
    <xf borderId="1" fillId="3" fontId="2" numFmtId="0" xfId="0" applyAlignment="1" applyBorder="1" applyFill="1" applyFont="1">
      <alignment horizontal="center" shrinkToFit="0" vertical="top" wrapText="1"/>
    </xf>
    <xf borderId="1" fillId="0" fontId="2" numFmtId="0" xfId="0" applyAlignment="1" applyBorder="1" applyFont="1">
      <alignment readingOrder="0" shrinkToFit="0" vertical="top" wrapText="1"/>
    </xf>
    <xf borderId="1" fillId="4" fontId="2" numFmtId="0" xfId="0" applyAlignment="1" applyBorder="1" applyFill="1" applyFont="1">
      <alignment horizontal="center" shrinkToFit="0" vertical="top" wrapText="1"/>
    </xf>
    <xf borderId="1" fillId="5" fontId="2" numFmtId="0" xfId="0" applyAlignment="1" applyBorder="1" applyFill="1" applyFont="1">
      <alignment horizontal="center" shrinkToFit="0" vertical="top" wrapText="1"/>
    </xf>
    <xf borderId="0" fillId="0" fontId="3" numFmtId="0" xfId="0" applyAlignment="1" applyFont="1">
      <alignment readingOrder="0" shrinkToFit="0" vertical="bottom" wrapText="0"/>
    </xf>
    <xf borderId="0" fillId="0" fontId="4" numFmtId="0" xfId="0" applyAlignment="1" applyFont="1">
      <alignment readingOrder="0" shrinkToFit="0" vertical="bottom" wrapText="0"/>
    </xf>
    <xf borderId="0" fillId="0" fontId="5" numFmtId="0" xfId="0" applyAlignment="1" applyFont="1">
      <alignment shrinkToFit="0" vertical="bottom" wrapText="0"/>
    </xf>
    <xf borderId="0" fillId="0" fontId="6"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20.0"/>
    <col customWidth="1" min="3" max="3" width="9.0"/>
    <col customWidth="1" min="4" max="4" width="48.0"/>
    <col customWidth="1" min="5" max="5" width="38.0"/>
    <col customWidth="1" min="6" max="6" width="48.0"/>
    <col customWidth="1" min="7" max="7" width="34.0"/>
    <col customWidth="1" min="8" max="8" width="20.0"/>
    <col customWidth="1" min="9" max="9" width="12.0"/>
    <col customWidth="1" min="10" max="10" width="28.0"/>
    <col customWidth="1" min="11" max="26" width="8.71"/>
  </cols>
  <sheetData>
    <row r="1" ht="30.0" customHeight="1">
      <c r="A1" s="1" t="s">
        <v>0</v>
      </c>
      <c r="B1" s="1" t="s">
        <v>1</v>
      </c>
      <c r="C1" s="1" t="s">
        <v>2</v>
      </c>
      <c r="D1" s="1" t="s">
        <v>3</v>
      </c>
      <c r="E1" s="1" t="s">
        <v>4</v>
      </c>
      <c r="F1" s="1" t="s">
        <v>5</v>
      </c>
      <c r="G1" s="1" t="s">
        <v>6</v>
      </c>
      <c r="H1" s="1" t="s">
        <v>7</v>
      </c>
      <c r="I1" s="1" t="s">
        <v>8</v>
      </c>
      <c r="J1" s="1" t="s">
        <v>9</v>
      </c>
    </row>
    <row r="2">
      <c r="A2" s="2" t="s">
        <v>10</v>
      </c>
      <c r="B2" s="2" t="s">
        <v>11</v>
      </c>
      <c r="C2" s="3" t="s">
        <v>12</v>
      </c>
      <c r="D2" s="2" t="s">
        <v>13</v>
      </c>
      <c r="E2" s="2" t="s">
        <v>14</v>
      </c>
      <c r="F2" s="2" t="s">
        <v>15</v>
      </c>
      <c r="G2" s="2" t="s">
        <v>16</v>
      </c>
      <c r="H2" s="4" t="s">
        <v>17</v>
      </c>
      <c r="I2" s="5" t="s">
        <v>18</v>
      </c>
      <c r="J2" s="2" t="s">
        <v>19</v>
      </c>
    </row>
    <row r="3">
      <c r="A3" s="2" t="s">
        <v>10</v>
      </c>
      <c r="B3" s="4" t="s">
        <v>20</v>
      </c>
      <c r="C3" s="3" t="s">
        <v>12</v>
      </c>
      <c r="D3" s="2" t="s">
        <v>21</v>
      </c>
      <c r="E3" s="2" t="s">
        <v>22</v>
      </c>
      <c r="F3" s="6" t="s">
        <v>23</v>
      </c>
      <c r="G3" s="2" t="s">
        <v>24</v>
      </c>
      <c r="H3" s="4" t="s">
        <v>25</v>
      </c>
      <c r="I3" s="5" t="s">
        <v>18</v>
      </c>
      <c r="J3" s="2" t="s">
        <v>26</v>
      </c>
    </row>
    <row r="4">
      <c r="A4" s="2" t="s">
        <v>10</v>
      </c>
      <c r="B4" s="2" t="s">
        <v>27</v>
      </c>
      <c r="C4" s="3" t="s">
        <v>12</v>
      </c>
      <c r="D4" s="2" t="s">
        <v>28</v>
      </c>
      <c r="E4" s="2" t="s">
        <v>29</v>
      </c>
      <c r="F4" s="2" t="s">
        <v>30</v>
      </c>
      <c r="G4" s="2" t="s">
        <v>31</v>
      </c>
      <c r="H4" s="4" t="s">
        <v>32</v>
      </c>
      <c r="I4" s="5" t="s">
        <v>18</v>
      </c>
      <c r="J4" s="4"/>
    </row>
    <row r="5">
      <c r="A5" s="2" t="s">
        <v>10</v>
      </c>
      <c r="B5" s="2" t="s">
        <v>33</v>
      </c>
      <c r="C5" s="3" t="s">
        <v>12</v>
      </c>
      <c r="D5" s="2" t="s">
        <v>34</v>
      </c>
      <c r="E5" s="2" t="s">
        <v>35</v>
      </c>
      <c r="F5" s="2" t="s">
        <v>36</v>
      </c>
      <c r="G5" s="2" t="s">
        <v>37</v>
      </c>
      <c r="H5" s="4" t="s">
        <v>38</v>
      </c>
      <c r="I5" s="5" t="s">
        <v>18</v>
      </c>
      <c r="J5" s="2" t="s">
        <v>39</v>
      </c>
    </row>
    <row r="6">
      <c r="A6" s="2" t="s">
        <v>40</v>
      </c>
      <c r="B6" s="2" t="s">
        <v>41</v>
      </c>
      <c r="C6" s="3" t="s">
        <v>12</v>
      </c>
      <c r="D6" s="2" t="s">
        <v>42</v>
      </c>
      <c r="E6" s="2" t="s">
        <v>43</v>
      </c>
      <c r="F6" s="2" t="s">
        <v>44</v>
      </c>
      <c r="G6" s="2" t="s">
        <v>45</v>
      </c>
      <c r="H6" s="4" t="s">
        <v>38</v>
      </c>
      <c r="I6" s="5" t="s">
        <v>18</v>
      </c>
      <c r="J6" s="4" t="s">
        <v>46</v>
      </c>
    </row>
    <row r="7">
      <c r="A7" s="4" t="s">
        <v>47</v>
      </c>
      <c r="B7" s="2" t="s">
        <v>48</v>
      </c>
      <c r="C7" s="3" t="s">
        <v>12</v>
      </c>
      <c r="D7" s="2" t="s">
        <v>49</v>
      </c>
      <c r="E7" s="2" t="s">
        <v>50</v>
      </c>
      <c r="F7" s="2" t="s">
        <v>51</v>
      </c>
      <c r="G7" s="2" t="s">
        <v>52</v>
      </c>
      <c r="H7" s="4" t="s">
        <v>53</v>
      </c>
      <c r="I7" s="5" t="s">
        <v>18</v>
      </c>
      <c r="J7" s="2" t="s">
        <v>54</v>
      </c>
    </row>
    <row r="8">
      <c r="A8" s="4" t="s">
        <v>47</v>
      </c>
      <c r="B8" s="2" t="s">
        <v>48</v>
      </c>
      <c r="C8" s="3" t="s">
        <v>12</v>
      </c>
      <c r="D8" s="2" t="s">
        <v>55</v>
      </c>
      <c r="E8" s="2" t="s">
        <v>56</v>
      </c>
      <c r="F8" s="2" t="s">
        <v>57</v>
      </c>
      <c r="G8" s="2" t="s">
        <v>58</v>
      </c>
      <c r="H8" s="4" t="s">
        <v>59</v>
      </c>
      <c r="I8" s="5" t="s">
        <v>18</v>
      </c>
      <c r="J8" s="4" t="s">
        <v>60</v>
      </c>
    </row>
    <row r="9">
      <c r="A9" s="2" t="s">
        <v>61</v>
      </c>
      <c r="B9" s="2" t="s">
        <v>62</v>
      </c>
      <c r="C9" s="3" t="s">
        <v>12</v>
      </c>
      <c r="D9" s="4" t="s">
        <v>63</v>
      </c>
      <c r="E9" s="2" t="s">
        <v>64</v>
      </c>
      <c r="F9" s="2" t="s">
        <v>65</v>
      </c>
      <c r="G9" s="2" t="s">
        <v>66</v>
      </c>
      <c r="H9" s="4" t="s">
        <v>67</v>
      </c>
      <c r="I9" s="5" t="s">
        <v>18</v>
      </c>
      <c r="J9" s="2" t="s">
        <v>68</v>
      </c>
    </row>
    <row r="10">
      <c r="A10" s="2" t="s">
        <v>10</v>
      </c>
      <c r="B10" s="2" t="s">
        <v>69</v>
      </c>
      <c r="C10" s="3" t="s">
        <v>12</v>
      </c>
      <c r="D10" s="2" t="s">
        <v>70</v>
      </c>
      <c r="E10" s="2" t="s">
        <v>71</v>
      </c>
      <c r="F10" s="4" t="s">
        <v>72</v>
      </c>
      <c r="G10" s="2" t="s">
        <v>73</v>
      </c>
      <c r="H10" s="4" t="s">
        <v>25</v>
      </c>
      <c r="I10" s="7" t="s">
        <v>74</v>
      </c>
      <c r="J10" s="4"/>
    </row>
    <row r="11">
      <c r="A11" s="2" t="s">
        <v>10</v>
      </c>
      <c r="B11" s="2" t="s">
        <v>75</v>
      </c>
      <c r="C11" s="3" t="s">
        <v>12</v>
      </c>
      <c r="D11" s="2" t="s">
        <v>76</v>
      </c>
      <c r="E11" s="2" t="s">
        <v>77</v>
      </c>
      <c r="F11" s="2" t="s">
        <v>78</v>
      </c>
      <c r="G11" s="2" t="s">
        <v>79</v>
      </c>
      <c r="H11" s="4" t="s">
        <v>25</v>
      </c>
      <c r="I11" s="7" t="s">
        <v>74</v>
      </c>
      <c r="J11" s="4"/>
    </row>
    <row r="12">
      <c r="A12" s="2" t="s">
        <v>10</v>
      </c>
      <c r="B12" s="2" t="s">
        <v>80</v>
      </c>
      <c r="C12" s="3" t="s">
        <v>12</v>
      </c>
      <c r="D12" s="2" t="s">
        <v>81</v>
      </c>
      <c r="E12" s="2" t="s">
        <v>82</v>
      </c>
      <c r="F12" s="2" t="s">
        <v>83</v>
      </c>
      <c r="G12" s="2" t="s">
        <v>84</v>
      </c>
      <c r="H12" s="4" t="s">
        <v>85</v>
      </c>
      <c r="I12" s="7" t="s">
        <v>74</v>
      </c>
      <c r="J12" s="2" t="s">
        <v>86</v>
      </c>
    </row>
    <row r="13">
      <c r="A13" s="2" t="s">
        <v>87</v>
      </c>
      <c r="B13" s="2" t="s">
        <v>88</v>
      </c>
      <c r="C13" s="3" t="s">
        <v>12</v>
      </c>
      <c r="D13" s="2" t="s">
        <v>89</v>
      </c>
      <c r="E13" s="2" t="s">
        <v>90</v>
      </c>
      <c r="F13" s="2" t="s">
        <v>91</v>
      </c>
      <c r="G13" s="2" t="s">
        <v>92</v>
      </c>
      <c r="H13" s="4" t="s">
        <v>93</v>
      </c>
      <c r="I13" s="7" t="s">
        <v>74</v>
      </c>
      <c r="J13" s="4"/>
    </row>
    <row r="14">
      <c r="A14" s="2" t="s">
        <v>94</v>
      </c>
      <c r="B14" s="2" t="s">
        <v>95</v>
      </c>
      <c r="C14" s="3" t="s">
        <v>12</v>
      </c>
      <c r="D14" s="2" t="s">
        <v>96</v>
      </c>
      <c r="E14" s="2" t="s">
        <v>97</v>
      </c>
      <c r="F14" s="2" t="s">
        <v>98</v>
      </c>
      <c r="G14" s="2" t="s">
        <v>99</v>
      </c>
      <c r="H14" s="4" t="s">
        <v>100</v>
      </c>
      <c r="I14" s="7" t="s">
        <v>74</v>
      </c>
      <c r="J14" s="4" t="s">
        <v>101</v>
      </c>
    </row>
    <row r="15">
      <c r="A15" s="2" t="s">
        <v>102</v>
      </c>
      <c r="B15" s="2" t="s">
        <v>103</v>
      </c>
      <c r="C15" s="3" t="s">
        <v>12</v>
      </c>
      <c r="D15" s="2" t="s">
        <v>104</v>
      </c>
      <c r="E15" s="2" t="s">
        <v>105</v>
      </c>
      <c r="F15" s="6" t="s">
        <v>106</v>
      </c>
      <c r="G15" s="2" t="s">
        <v>107</v>
      </c>
      <c r="H15" s="4" t="s">
        <v>108</v>
      </c>
      <c r="I15" s="7" t="s">
        <v>74</v>
      </c>
      <c r="J15" s="4" t="s">
        <v>109</v>
      </c>
    </row>
    <row r="16">
      <c r="A16" s="4" t="s">
        <v>110</v>
      </c>
      <c r="B16" s="4" t="s">
        <v>111</v>
      </c>
      <c r="C16" s="3" t="s">
        <v>112</v>
      </c>
      <c r="D16" s="4" t="s">
        <v>113</v>
      </c>
      <c r="E16" s="4" t="s">
        <v>114</v>
      </c>
      <c r="F16" s="4" t="s">
        <v>115</v>
      </c>
      <c r="G16" s="4" t="s">
        <v>116</v>
      </c>
      <c r="H16" s="4" t="s">
        <v>117</v>
      </c>
      <c r="I16" s="5" t="s">
        <v>18</v>
      </c>
      <c r="J16" s="4"/>
    </row>
    <row r="17">
      <c r="A17" s="4" t="s">
        <v>110</v>
      </c>
      <c r="B17" s="4" t="s">
        <v>20</v>
      </c>
      <c r="C17" s="3" t="s">
        <v>112</v>
      </c>
      <c r="D17" s="4" t="s">
        <v>118</v>
      </c>
      <c r="E17" s="4" t="s">
        <v>119</v>
      </c>
      <c r="F17" s="4" t="s">
        <v>120</v>
      </c>
      <c r="G17" s="4" t="s">
        <v>121</v>
      </c>
      <c r="H17" s="4" t="s">
        <v>122</v>
      </c>
      <c r="I17" s="5" t="s">
        <v>18</v>
      </c>
      <c r="J17" s="4"/>
    </row>
    <row r="18">
      <c r="A18" s="2" t="s">
        <v>123</v>
      </c>
      <c r="B18" s="2" t="s">
        <v>124</v>
      </c>
      <c r="C18" s="3" t="s">
        <v>112</v>
      </c>
      <c r="D18" s="4" t="s">
        <v>125</v>
      </c>
      <c r="E18" s="4" t="s">
        <v>126</v>
      </c>
      <c r="F18" s="4" t="s">
        <v>127</v>
      </c>
      <c r="G18" s="4" t="s">
        <v>128</v>
      </c>
      <c r="H18" s="4" t="s">
        <v>129</v>
      </c>
      <c r="I18" s="5" t="s">
        <v>18</v>
      </c>
      <c r="J18" s="4" t="s">
        <v>130</v>
      </c>
    </row>
    <row r="19">
      <c r="A19" s="4" t="s">
        <v>110</v>
      </c>
      <c r="B19" s="4" t="s">
        <v>131</v>
      </c>
      <c r="C19" s="3" t="s">
        <v>112</v>
      </c>
      <c r="D19" s="4" t="s">
        <v>132</v>
      </c>
      <c r="E19" s="4" t="s">
        <v>133</v>
      </c>
      <c r="F19" s="4" t="s">
        <v>134</v>
      </c>
      <c r="G19" s="4" t="s">
        <v>135</v>
      </c>
      <c r="H19" s="4" t="s">
        <v>136</v>
      </c>
      <c r="I19" s="7" t="s">
        <v>74</v>
      </c>
      <c r="J19" s="4"/>
    </row>
    <row r="20">
      <c r="A20" s="4" t="s">
        <v>110</v>
      </c>
      <c r="B20" s="4" t="s">
        <v>137</v>
      </c>
      <c r="C20" s="3" t="s">
        <v>112</v>
      </c>
      <c r="D20" s="4" t="s">
        <v>138</v>
      </c>
      <c r="E20" s="4" t="s">
        <v>139</v>
      </c>
      <c r="F20" s="4" t="s">
        <v>140</v>
      </c>
      <c r="G20" s="4" t="s">
        <v>141</v>
      </c>
      <c r="H20" s="4" t="s">
        <v>142</v>
      </c>
      <c r="I20" s="7" t="s">
        <v>74</v>
      </c>
      <c r="J20" s="4"/>
    </row>
    <row r="21" ht="15.75" customHeight="1">
      <c r="A21" s="4" t="s">
        <v>110</v>
      </c>
      <c r="B21" s="4" t="s">
        <v>143</v>
      </c>
      <c r="C21" s="3" t="s">
        <v>112</v>
      </c>
      <c r="D21" s="4" t="s">
        <v>144</v>
      </c>
      <c r="E21" s="4" t="s">
        <v>145</v>
      </c>
      <c r="F21" s="4" t="s">
        <v>146</v>
      </c>
      <c r="G21" s="4" t="s">
        <v>147</v>
      </c>
      <c r="H21" s="4" t="s">
        <v>148</v>
      </c>
      <c r="I21" s="8" t="s">
        <v>149</v>
      </c>
      <c r="J21" s="4"/>
    </row>
    <row r="22" ht="15.75" customHeight="1">
      <c r="A22" s="2" t="s">
        <v>150</v>
      </c>
      <c r="B22" s="2" t="s">
        <v>151</v>
      </c>
      <c r="C22" s="3" t="s">
        <v>112</v>
      </c>
      <c r="D22" s="4" t="s">
        <v>152</v>
      </c>
      <c r="E22" s="4" t="s">
        <v>153</v>
      </c>
      <c r="F22" s="4" t="s">
        <v>154</v>
      </c>
      <c r="G22" s="4" t="s">
        <v>155</v>
      </c>
      <c r="H22" s="4" t="s">
        <v>156</v>
      </c>
      <c r="I22" s="8" t="s">
        <v>149</v>
      </c>
      <c r="J22" s="4"/>
    </row>
    <row r="23" ht="15.75" customHeight="1">
      <c r="A23" s="4" t="s">
        <v>157</v>
      </c>
      <c r="B23" s="4" t="s">
        <v>158</v>
      </c>
      <c r="C23" s="3" t="s">
        <v>12</v>
      </c>
      <c r="D23" s="2" t="s">
        <v>159</v>
      </c>
      <c r="E23" s="2" t="s">
        <v>160</v>
      </c>
      <c r="F23" s="2" t="s">
        <v>161</v>
      </c>
      <c r="G23" s="2" t="s">
        <v>162</v>
      </c>
      <c r="H23" s="4" t="s">
        <v>163</v>
      </c>
      <c r="I23" s="5" t="s">
        <v>18</v>
      </c>
      <c r="J23" s="4"/>
    </row>
    <row r="24" ht="15.75" customHeight="1">
      <c r="A24" s="4" t="s">
        <v>164</v>
      </c>
      <c r="B24" s="4" t="s">
        <v>20</v>
      </c>
      <c r="C24" s="3" t="s">
        <v>12</v>
      </c>
      <c r="D24" s="2" t="s">
        <v>165</v>
      </c>
      <c r="E24" s="2" t="s">
        <v>166</v>
      </c>
      <c r="F24" s="2" t="s">
        <v>167</v>
      </c>
      <c r="G24" s="2" t="s">
        <v>168</v>
      </c>
      <c r="H24" s="4" t="s">
        <v>25</v>
      </c>
      <c r="I24" s="5" t="s">
        <v>18</v>
      </c>
      <c r="J24" s="2" t="s">
        <v>169</v>
      </c>
    </row>
    <row r="25" ht="15.75" customHeight="1">
      <c r="A25" s="4" t="s">
        <v>170</v>
      </c>
      <c r="B25" s="4" t="s">
        <v>158</v>
      </c>
      <c r="C25" s="3" t="s">
        <v>12</v>
      </c>
      <c r="D25" s="2" t="s">
        <v>171</v>
      </c>
      <c r="E25" s="2" t="s">
        <v>172</v>
      </c>
      <c r="F25" s="2" t="s">
        <v>173</v>
      </c>
      <c r="G25" s="2" t="s">
        <v>174</v>
      </c>
      <c r="H25" s="4" t="s">
        <v>175</v>
      </c>
      <c r="I25" s="5" t="s">
        <v>18</v>
      </c>
      <c r="J25" s="2" t="s">
        <v>176</v>
      </c>
    </row>
    <row r="26" ht="15.75" customHeight="1">
      <c r="A26" s="4" t="s">
        <v>177</v>
      </c>
      <c r="B26" s="4" t="s">
        <v>20</v>
      </c>
      <c r="C26" s="3" t="s">
        <v>12</v>
      </c>
      <c r="D26" s="2" t="s">
        <v>178</v>
      </c>
      <c r="E26" s="2" t="s">
        <v>179</v>
      </c>
      <c r="F26" s="2" t="s">
        <v>180</v>
      </c>
      <c r="G26" s="2" t="s">
        <v>181</v>
      </c>
      <c r="H26" s="4" t="s">
        <v>25</v>
      </c>
      <c r="I26" s="5" t="s">
        <v>18</v>
      </c>
      <c r="J26" s="2" t="s">
        <v>182</v>
      </c>
    </row>
    <row r="27" ht="15.75" customHeight="1">
      <c r="A27" s="4" t="s">
        <v>183</v>
      </c>
      <c r="B27" s="4" t="s">
        <v>158</v>
      </c>
      <c r="C27" s="3" t="s">
        <v>12</v>
      </c>
      <c r="D27" s="2" t="s">
        <v>184</v>
      </c>
      <c r="E27" s="2" t="s">
        <v>185</v>
      </c>
      <c r="F27" s="2" t="s">
        <v>186</v>
      </c>
      <c r="G27" s="2" t="s">
        <v>187</v>
      </c>
      <c r="H27" s="4" t="s">
        <v>188</v>
      </c>
      <c r="I27" s="5" t="s">
        <v>18</v>
      </c>
      <c r="J27" s="4"/>
    </row>
    <row r="28" ht="15.75" customHeight="1">
      <c r="A28" s="4" t="s">
        <v>189</v>
      </c>
      <c r="B28" s="4" t="s">
        <v>190</v>
      </c>
      <c r="C28" s="3" t="s">
        <v>12</v>
      </c>
      <c r="D28" s="2" t="s">
        <v>191</v>
      </c>
      <c r="E28" s="2" t="s">
        <v>192</v>
      </c>
      <c r="F28" s="2" t="s">
        <v>193</v>
      </c>
      <c r="G28" s="2" t="s">
        <v>194</v>
      </c>
      <c r="H28" s="4" t="s">
        <v>195</v>
      </c>
      <c r="I28" s="5" t="s">
        <v>18</v>
      </c>
      <c r="J28" s="4"/>
    </row>
    <row r="29" ht="15.75" customHeight="1">
      <c r="A29" s="4" t="s">
        <v>189</v>
      </c>
      <c r="B29" s="4" t="s">
        <v>158</v>
      </c>
      <c r="C29" s="3" t="s">
        <v>12</v>
      </c>
      <c r="D29" s="2" t="s">
        <v>196</v>
      </c>
      <c r="E29" s="2" t="s">
        <v>197</v>
      </c>
      <c r="F29" s="2" t="s">
        <v>198</v>
      </c>
      <c r="G29" s="2" t="s">
        <v>199</v>
      </c>
      <c r="H29" s="4" t="s">
        <v>200</v>
      </c>
      <c r="I29" s="5" t="s">
        <v>18</v>
      </c>
      <c r="J29" s="4"/>
    </row>
    <row r="30" ht="15.75" customHeight="1">
      <c r="A30" s="4" t="s">
        <v>189</v>
      </c>
      <c r="B30" s="4" t="s">
        <v>201</v>
      </c>
      <c r="C30" s="3" t="s">
        <v>12</v>
      </c>
      <c r="D30" s="2" t="s">
        <v>202</v>
      </c>
      <c r="E30" s="2" t="s">
        <v>203</v>
      </c>
      <c r="F30" s="2" t="s">
        <v>204</v>
      </c>
      <c r="G30" s="2" t="s">
        <v>205</v>
      </c>
      <c r="H30" s="4" t="s">
        <v>206</v>
      </c>
      <c r="I30" s="5" t="s">
        <v>18</v>
      </c>
      <c r="J30" s="2" t="s">
        <v>207</v>
      </c>
    </row>
    <row r="31" ht="15.75" customHeight="1">
      <c r="A31" s="4" t="s">
        <v>189</v>
      </c>
      <c r="B31" s="4" t="s">
        <v>208</v>
      </c>
      <c r="C31" s="3" t="s">
        <v>12</v>
      </c>
      <c r="D31" s="2" t="s">
        <v>209</v>
      </c>
      <c r="E31" s="2" t="s">
        <v>210</v>
      </c>
      <c r="F31" s="2" t="s">
        <v>211</v>
      </c>
      <c r="G31" s="2" t="s">
        <v>212</v>
      </c>
      <c r="H31" s="4" t="s">
        <v>213</v>
      </c>
      <c r="I31" s="5" t="s">
        <v>18</v>
      </c>
      <c r="J31" s="2" t="s">
        <v>214</v>
      </c>
    </row>
    <row r="32" ht="15.75" customHeight="1">
      <c r="A32" s="4" t="s">
        <v>189</v>
      </c>
      <c r="B32" s="4" t="s">
        <v>158</v>
      </c>
      <c r="C32" s="3" t="s">
        <v>12</v>
      </c>
      <c r="D32" s="2" t="s">
        <v>215</v>
      </c>
      <c r="E32" s="2" t="s">
        <v>216</v>
      </c>
      <c r="F32" s="2" t="s">
        <v>217</v>
      </c>
      <c r="G32" s="2" t="s">
        <v>218</v>
      </c>
      <c r="H32" s="4" t="s">
        <v>59</v>
      </c>
      <c r="I32" s="5" t="s">
        <v>18</v>
      </c>
      <c r="J32" s="2" t="s">
        <v>219</v>
      </c>
    </row>
    <row r="33" ht="15.75" customHeight="1">
      <c r="A33" s="4" t="s">
        <v>189</v>
      </c>
      <c r="B33" s="4" t="s">
        <v>220</v>
      </c>
      <c r="C33" s="3" t="s">
        <v>12</v>
      </c>
      <c r="D33" s="2" t="s">
        <v>221</v>
      </c>
      <c r="E33" s="2" t="s">
        <v>222</v>
      </c>
      <c r="F33" s="2" t="s">
        <v>223</v>
      </c>
      <c r="G33" s="2" t="s">
        <v>224</v>
      </c>
      <c r="H33" s="4" t="s">
        <v>225</v>
      </c>
      <c r="I33" s="5" t="s">
        <v>18</v>
      </c>
      <c r="J33" s="2" t="s">
        <v>226</v>
      </c>
    </row>
    <row r="34" ht="15.75" customHeight="1">
      <c r="A34" s="4" t="s">
        <v>227</v>
      </c>
      <c r="B34" s="4" t="s">
        <v>208</v>
      </c>
      <c r="C34" s="3" t="s">
        <v>12</v>
      </c>
      <c r="D34" s="2" t="s">
        <v>42</v>
      </c>
      <c r="E34" s="2" t="s">
        <v>228</v>
      </c>
      <c r="F34" s="2" t="s">
        <v>229</v>
      </c>
      <c r="G34" s="2" t="s">
        <v>230</v>
      </c>
      <c r="H34" s="4" t="s">
        <v>231</v>
      </c>
      <c r="I34" s="5" t="s">
        <v>18</v>
      </c>
      <c r="J34" s="2" t="s">
        <v>232</v>
      </c>
    </row>
    <row r="35" ht="15.75" customHeight="1">
      <c r="A35" s="4" t="s">
        <v>233</v>
      </c>
      <c r="B35" s="4" t="s">
        <v>190</v>
      </c>
      <c r="C35" s="3" t="s">
        <v>12</v>
      </c>
      <c r="D35" s="2" t="s">
        <v>234</v>
      </c>
      <c r="E35" s="2" t="s">
        <v>235</v>
      </c>
      <c r="F35" s="2" t="s">
        <v>236</v>
      </c>
      <c r="G35" s="2" t="s">
        <v>237</v>
      </c>
      <c r="H35" s="4" t="s">
        <v>156</v>
      </c>
      <c r="I35" s="5" t="s">
        <v>18</v>
      </c>
      <c r="J35" s="4"/>
    </row>
    <row r="36" ht="15.75" customHeight="1">
      <c r="A36" s="4" t="s">
        <v>233</v>
      </c>
      <c r="B36" s="4" t="s">
        <v>238</v>
      </c>
      <c r="C36" s="3" t="s">
        <v>12</v>
      </c>
      <c r="D36" s="2" t="s">
        <v>239</v>
      </c>
      <c r="E36" s="2" t="s">
        <v>240</v>
      </c>
      <c r="F36" s="2" t="s">
        <v>241</v>
      </c>
      <c r="G36" s="2" t="s">
        <v>242</v>
      </c>
      <c r="H36" s="4" t="s">
        <v>243</v>
      </c>
      <c r="I36" s="5" t="s">
        <v>18</v>
      </c>
      <c r="J36" s="4"/>
    </row>
    <row r="37" ht="15.75" customHeight="1">
      <c r="A37" s="4" t="s">
        <v>164</v>
      </c>
      <c r="B37" s="4" t="s">
        <v>158</v>
      </c>
      <c r="C37" s="3" t="s">
        <v>12</v>
      </c>
      <c r="D37" s="2" t="s">
        <v>244</v>
      </c>
      <c r="E37" s="2" t="s">
        <v>245</v>
      </c>
      <c r="F37" s="2" t="s">
        <v>246</v>
      </c>
      <c r="G37" s="2" t="s">
        <v>247</v>
      </c>
      <c r="H37" s="4" t="s">
        <v>248</v>
      </c>
      <c r="I37" s="7" t="s">
        <v>74</v>
      </c>
      <c r="J37" s="4"/>
    </row>
    <row r="38" ht="15.75" customHeight="1">
      <c r="A38" s="4" t="s">
        <v>249</v>
      </c>
      <c r="B38" s="4" t="s">
        <v>158</v>
      </c>
      <c r="C38" s="3" t="s">
        <v>12</v>
      </c>
      <c r="D38" s="2" t="s">
        <v>250</v>
      </c>
      <c r="E38" s="2" t="s">
        <v>251</v>
      </c>
      <c r="F38" s="2" t="s">
        <v>252</v>
      </c>
      <c r="G38" s="2" t="s">
        <v>253</v>
      </c>
      <c r="H38" s="4" t="s">
        <v>25</v>
      </c>
      <c r="I38" s="7" t="s">
        <v>74</v>
      </c>
      <c r="J38" s="4"/>
    </row>
    <row r="39" ht="15.75" customHeight="1">
      <c r="A39" s="4" t="s">
        <v>170</v>
      </c>
      <c r="B39" s="4" t="s">
        <v>238</v>
      </c>
      <c r="C39" s="3" t="s">
        <v>12</v>
      </c>
      <c r="D39" s="2" t="s">
        <v>254</v>
      </c>
      <c r="E39" s="2" t="s">
        <v>255</v>
      </c>
      <c r="F39" s="2" t="s">
        <v>256</v>
      </c>
      <c r="G39" s="2" t="s">
        <v>257</v>
      </c>
      <c r="H39" s="4" t="s">
        <v>243</v>
      </c>
      <c r="I39" s="7" t="s">
        <v>74</v>
      </c>
      <c r="J39" s="4"/>
    </row>
    <row r="40" ht="15.75" customHeight="1">
      <c r="A40" s="4" t="s">
        <v>177</v>
      </c>
      <c r="B40" s="4" t="s">
        <v>190</v>
      </c>
      <c r="C40" s="3" t="s">
        <v>12</v>
      </c>
      <c r="D40" s="2" t="s">
        <v>258</v>
      </c>
      <c r="E40" s="2" t="s">
        <v>259</v>
      </c>
      <c r="F40" s="2" t="s">
        <v>260</v>
      </c>
      <c r="G40" s="2" t="s">
        <v>261</v>
      </c>
      <c r="H40" s="4" t="s">
        <v>262</v>
      </c>
      <c r="I40" s="7" t="s">
        <v>74</v>
      </c>
      <c r="J40" s="4"/>
    </row>
    <row r="41" ht="15.75" customHeight="1">
      <c r="A41" s="4" t="s">
        <v>189</v>
      </c>
      <c r="B41" s="4" t="s">
        <v>190</v>
      </c>
      <c r="C41" s="3" t="s">
        <v>12</v>
      </c>
      <c r="D41" s="2" t="s">
        <v>263</v>
      </c>
      <c r="E41" s="2" t="s">
        <v>264</v>
      </c>
      <c r="F41" s="2" t="s">
        <v>265</v>
      </c>
      <c r="G41" s="2" t="s">
        <v>266</v>
      </c>
      <c r="H41" s="4" t="s">
        <v>25</v>
      </c>
      <c r="I41" s="7" t="s">
        <v>74</v>
      </c>
      <c r="J41" s="4"/>
    </row>
    <row r="42" ht="15.75" customHeight="1">
      <c r="A42" s="4" t="s">
        <v>189</v>
      </c>
      <c r="B42" s="4" t="s">
        <v>238</v>
      </c>
      <c r="C42" s="3" t="s">
        <v>12</v>
      </c>
      <c r="D42" s="2" t="s">
        <v>267</v>
      </c>
      <c r="E42" s="2" t="s">
        <v>268</v>
      </c>
      <c r="F42" s="2" t="s">
        <v>269</v>
      </c>
      <c r="G42" s="2" t="s">
        <v>270</v>
      </c>
      <c r="H42" s="4" t="s">
        <v>243</v>
      </c>
      <c r="I42" s="7" t="s">
        <v>74</v>
      </c>
      <c r="J42" s="4"/>
    </row>
    <row r="43" ht="15.75" customHeight="1">
      <c r="A43" s="4" t="s">
        <v>189</v>
      </c>
      <c r="B43" s="4" t="s">
        <v>238</v>
      </c>
      <c r="C43" s="3" t="s">
        <v>12</v>
      </c>
      <c r="D43" s="2" t="s">
        <v>271</v>
      </c>
      <c r="E43" s="2" t="s">
        <v>272</v>
      </c>
      <c r="F43" s="2" t="s">
        <v>273</v>
      </c>
      <c r="G43" s="2" t="s">
        <v>274</v>
      </c>
      <c r="H43" s="4" t="s">
        <v>275</v>
      </c>
      <c r="I43" s="7" t="s">
        <v>74</v>
      </c>
      <c r="J43" s="2" t="s">
        <v>276</v>
      </c>
    </row>
    <row r="44" ht="15.75" customHeight="1">
      <c r="A44" s="4" t="s">
        <v>189</v>
      </c>
      <c r="B44" s="4" t="s">
        <v>208</v>
      </c>
      <c r="C44" s="3" t="s">
        <v>12</v>
      </c>
      <c r="D44" s="2" t="s">
        <v>277</v>
      </c>
      <c r="E44" s="2" t="s">
        <v>278</v>
      </c>
      <c r="F44" s="2" t="s">
        <v>279</v>
      </c>
      <c r="G44" s="2" t="s">
        <v>280</v>
      </c>
      <c r="H44" s="4" t="s">
        <v>67</v>
      </c>
      <c r="I44" s="7" t="s">
        <v>74</v>
      </c>
      <c r="J44" s="4"/>
    </row>
    <row r="45" ht="15.75" customHeight="1">
      <c r="A45" s="4" t="s">
        <v>233</v>
      </c>
      <c r="B45" s="4" t="s">
        <v>281</v>
      </c>
      <c r="C45" s="3" t="s">
        <v>12</v>
      </c>
      <c r="D45" s="2" t="s">
        <v>282</v>
      </c>
      <c r="E45" s="2" t="s">
        <v>283</v>
      </c>
      <c r="F45" s="2" t="s">
        <v>284</v>
      </c>
      <c r="G45" s="2" t="s">
        <v>285</v>
      </c>
      <c r="H45" s="4" t="s">
        <v>231</v>
      </c>
      <c r="I45" s="7" t="s">
        <v>74</v>
      </c>
      <c r="J45" s="4"/>
    </row>
    <row r="46" ht="15.75" customHeight="1">
      <c r="A46" s="4" t="s">
        <v>286</v>
      </c>
      <c r="B46" s="4" t="s">
        <v>158</v>
      </c>
      <c r="C46" s="3" t="s">
        <v>112</v>
      </c>
      <c r="D46" s="4" t="s">
        <v>287</v>
      </c>
      <c r="E46" s="4" t="s">
        <v>288</v>
      </c>
      <c r="F46" s="4" t="s">
        <v>289</v>
      </c>
      <c r="G46" s="4" t="s">
        <v>290</v>
      </c>
      <c r="H46" s="4" t="s">
        <v>291</v>
      </c>
      <c r="I46" s="5" t="s">
        <v>18</v>
      </c>
      <c r="J46" s="4"/>
    </row>
    <row r="47" ht="15.75" customHeight="1">
      <c r="A47" s="4" t="s">
        <v>292</v>
      </c>
      <c r="B47" s="4" t="s">
        <v>293</v>
      </c>
      <c r="C47" s="3" t="s">
        <v>112</v>
      </c>
      <c r="D47" s="4" t="s">
        <v>294</v>
      </c>
      <c r="E47" s="4" t="s">
        <v>295</v>
      </c>
      <c r="F47" s="4" t="s">
        <v>296</v>
      </c>
      <c r="G47" s="4" t="s">
        <v>297</v>
      </c>
      <c r="H47" s="4" t="s">
        <v>298</v>
      </c>
      <c r="I47" s="5" t="s">
        <v>18</v>
      </c>
      <c r="J47" s="4" t="s">
        <v>299</v>
      </c>
    </row>
    <row r="48" ht="15.75" customHeight="1">
      <c r="A48" s="4" t="s">
        <v>292</v>
      </c>
      <c r="B48" s="4" t="s">
        <v>208</v>
      </c>
      <c r="C48" s="3" t="s">
        <v>112</v>
      </c>
      <c r="D48" s="4" t="s">
        <v>300</v>
      </c>
      <c r="E48" s="4" t="s">
        <v>301</v>
      </c>
      <c r="F48" s="4" t="s">
        <v>302</v>
      </c>
      <c r="G48" s="4" t="s">
        <v>303</v>
      </c>
      <c r="H48" s="4" t="s">
        <v>195</v>
      </c>
      <c r="I48" s="5" t="s">
        <v>18</v>
      </c>
      <c r="J48" s="4"/>
    </row>
    <row r="49" ht="15.75" customHeight="1">
      <c r="A49" s="4" t="s">
        <v>304</v>
      </c>
      <c r="B49" s="4" t="s">
        <v>190</v>
      </c>
      <c r="C49" s="3" t="s">
        <v>112</v>
      </c>
      <c r="D49" s="4" t="s">
        <v>305</v>
      </c>
      <c r="E49" s="4" t="s">
        <v>306</v>
      </c>
      <c r="F49" s="4" t="s">
        <v>307</v>
      </c>
      <c r="G49" s="4" t="s">
        <v>308</v>
      </c>
      <c r="H49" s="4" t="s">
        <v>309</v>
      </c>
      <c r="I49" s="5" t="s">
        <v>18</v>
      </c>
      <c r="J49" s="4" t="s">
        <v>310</v>
      </c>
    </row>
    <row r="50" ht="15.75" customHeight="1">
      <c r="A50" s="4" t="s">
        <v>304</v>
      </c>
      <c r="B50" s="4" t="s">
        <v>220</v>
      </c>
      <c r="C50" s="3" t="s">
        <v>112</v>
      </c>
      <c r="D50" s="4" t="s">
        <v>311</v>
      </c>
      <c r="E50" s="4" t="s">
        <v>312</v>
      </c>
      <c r="F50" s="4" t="s">
        <v>313</v>
      </c>
      <c r="G50" s="4" t="s">
        <v>314</v>
      </c>
      <c r="H50" s="4" t="s">
        <v>315</v>
      </c>
      <c r="I50" s="5" t="s">
        <v>18</v>
      </c>
      <c r="J50" s="4" t="s">
        <v>316</v>
      </c>
    </row>
    <row r="51" ht="15.75" customHeight="1">
      <c r="A51" s="4" t="s">
        <v>317</v>
      </c>
      <c r="B51" s="4" t="s">
        <v>20</v>
      </c>
      <c r="C51" s="3" t="s">
        <v>112</v>
      </c>
      <c r="D51" s="4" t="s">
        <v>318</v>
      </c>
      <c r="E51" s="4" t="s">
        <v>319</v>
      </c>
      <c r="F51" s="4" t="s">
        <v>320</v>
      </c>
      <c r="G51" s="4" t="s">
        <v>321</v>
      </c>
      <c r="H51" s="4" t="s">
        <v>195</v>
      </c>
      <c r="I51" s="5" t="s">
        <v>18</v>
      </c>
      <c r="J51" s="4"/>
    </row>
    <row r="52" ht="15.75" customHeight="1">
      <c r="A52" s="4" t="s">
        <v>322</v>
      </c>
      <c r="B52" s="4" t="s">
        <v>238</v>
      </c>
      <c r="C52" s="3" t="s">
        <v>112</v>
      </c>
      <c r="D52" s="4" t="s">
        <v>323</v>
      </c>
      <c r="E52" s="4" t="s">
        <v>324</v>
      </c>
      <c r="F52" s="4" t="s">
        <v>325</v>
      </c>
      <c r="G52" s="4" t="s">
        <v>326</v>
      </c>
      <c r="H52" s="4" t="s">
        <v>231</v>
      </c>
      <c r="I52" s="5" t="s">
        <v>18</v>
      </c>
      <c r="J52" s="4" t="s">
        <v>327</v>
      </c>
    </row>
    <row r="53" ht="15.75" customHeight="1">
      <c r="A53" s="4" t="s">
        <v>322</v>
      </c>
      <c r="B53" s="4" t="s">
        <v>158</v>
      </c>
      <c r="C53" s="3" t="s">
        <v>112</v>
      </c>
      <c r="D53" s="4" t="s">
        <v>328</v>
      </c>
      <c r="E53" s="4" t="s">
        <v>329</v>
      </c>
      <c r="F53" s="4" t="s">
        <v>330</v>
      </c>
      <c r="G53" s="4" t="s">
        <v>331</v>
      </c>
      <c r="H53" s="4" t="s">
        <v>188</v>
      </c>
      <c r="I53" s="5" t="s">
        <v>18</v>
      </c>
      <c r="J53" s="4"/>
    </row>
    <row r="54" ht="15.75" customHeight="1">
      <c r="A54" s="4" t="s">
        <v>332</v>
      </c>
      <c r="B54" s="4" t="s">
        <v>293</v>
      </c>
      <c r="C54" s="3" t="s">
        <v>112</v>
      </c>
      <c r="D54" s="4" t="s">
        <v>333</v>
      </c>
      <c r="E54" s="4" t="s">
        <v>334</v>
      </c>
      <c r="F54" s="4" t="s">
        <v>335</v>
      </c>
      <c r="G54" s="4" t="s">
        <v>336</v>
      </c>
      <c r="H54" s="4" t="s">
        <v>337</v>
      </c>
      <c r="I54" s="5" t="s">
        <v>18</v>
      </c>
      <c r="J54" s="4" t="s">
        <v>338</v>
      </c>
    </row>
    <row r="55" ht="15.75" customHeight="1">
      <c r="A55" s="4" t="s">
        <v>332</v>
      </c>
      <c r="B55" s="4" t="s">
        <v>190</v>
      </c>
      <c r="C55" s="3" t="s">
        <v>112</v>
      </c>
      <c r="D55" s="4" t="s">
        <v>339</v>
      </c>
      <c r="E55" s="4" t="s">
        <v>340</v>
      </c>
      <c r="F55" s="4" t="s">
        <v>341</v>
      </c>
      <c r="G55" s="4" t="s">
        <v>342</v>
      </c>
      <c r="H55" s="4" t="s">
        <v>309</v>
      </c>
      <c r="I55" s="5" t="s">
        <v>18</v>
      </c>
      <c r="J55" s="4"/>
    </row>
    <row r="56" ht="15.75" customHeight="1">
      <c r="A56" s="4" t="s">
        <v>332</v>
      </c>
      <c r="B56" s="4" t="s">
        <v>158</v>
      </c>
      <c r="C56" s="3" t="s">
        <v>112</v>
      </c>
      <c r="D56" s="4" t="s">
        <v>343</v>
      </c>
      <c r="E56" s="4" t="s">
        <v>344</v>
      </c>
      <c r="F56" s="4" t="s">
        <v>345</v>
      </c>
      <c r="G56" s="4" t="s">
        <v>346</v>
      </c>
      <c r="H56" s="4" t="s">
        <v>347</v>
      </c>
      <c r="I56" s="5" t="s">
        <v>18</v>
      </c>
      <c r="J56" s="4" t="s">
        <v>348</v>
      </c>
    </row>
    <row r="57" ht="15.75" customHeight="1">
      <c r="A57" s="4" t="s">
        <v>332</v>
      </c>
      <c r="B57" s="4" t="s">
        <v>158</v>
      </c>
      <c r="C57" s="3" t="s">
        <v>112</v>
      </c>
      <c r="D57" s="4" t="s">
        <v>349</v>
      </c>
      <c r="E57" s="4" t="s">
        <v>350</v>
      </c>
      <c r="F57" s="4" t="s">
        <v>351</v>
      </c>
      <c r="G57" s="4" t="s">
        <v>352</v>
      </c>
      <c r="H57" s="4" t="s">
        <v>59</v>
      </c>
      <c r="I57" s="5" t="s">
        <v>18</v>
      </c>
      <c r="J57" s="4" t="s">
        <v>353</v>
      </c>
    </row>
    <row r="58" ht="15.75" customHeight="1">
      <c r="A58" s="4" t="s">
        <v>332</v>
      </c>
      <c r="B58" s="4" t="s">
        <v>220</v>
      </c>
      <c r="C58" s="3" t="s">
        <v>112</v>
      </c>
      <c r="D58" s="4" t="s">
        <v>354</v>
      </c>
      <c r="E58" s="4" t="s">
        <v>355</v>
      </c>
      <c r="F58" s="4" t="s">
        <v>356</v>
      </c>
      <c r="G58" s="4" t="s">
        <v>357</v>
      </c>
      <c r="H58" s="4" t="s">
        <v>358</v>
      </c>
      <c r="I58" s="5" t="s">
        <v>18</v>
      </c>
      <c r="J58" s="4" t="s">
        <v>359</v>
      </c>
    </row>
    <row r="59" ht="15.75" customHeight="1">
      <c r="A59" s="4" t="s">
        <v>360</v>
      </c>
      <c r="B59" s="4" t="s">
        <v>293</v>
      </c>
      <c r="C59" s="3" t="s">
        <v>112</v>
      </c>
      <c r="D59" s="4" t="s">
        <v>361</v>
      </c>
      <c r="E59" s="4" t="s">
        <v>362</v>
      </c>
      <c r="F59" s="4" t="s">
        <v>363</v>
      </c>
      <c r="G59" s="4" t="s">
        <v>364</v>
      </c>
      <c r="H59" s="4" t="s">
        <v>365</v>
      </c>
      <c r="I59" s="5" t="s">
        <v>18</v>
      </c>
      <c r="J59" s="4"/>
    </row>
    <row r="60" ht="15.75" customHeight="1">
      <c r="A60" s="4" t="s">
        <v>366</v>
      </c>
      <c r="B60" s="4" t="s">
        <v>190</v>
      </c>
      <c r="C60" s="3" t="s">
        <v>112</v>
      </c>
      <c r="D60" s="4" t="s">
        <v>367</v>
      </c>
      <c r="E60" s="4" t="s">
        <v>368</v>
      </c>
      <c r="F60" s="4" t="s">
        <v>369</v>
      </c>
      <c r="G60" s="4" t="s">
        <v>370</v>
      </c>
      <c r="H60" s="4" t="s">
        <v>156</v>
      </c>
      <c r="I60" s="5" t="s">
        <v>18</v>
      </c>
      <c r="J60" s="4"/>
    </row>
    <row r="61" ht="15.75" customHeight="1">
      <c r="A61" s="4" t="s">
        <v>366</v>
      </c>
      <c r="B61" s="4" t="s">
        <v>190</v>
      </c>
      <c r="C61" s="3" t="s">
        <v>112</v>
      </c>
      <c r="D61" s="4" t="s">
        <v>371</v>
      </c>
      <c r="E61" s="4" t="s">
        <v>372</v>
      </c>
      <c r="F61" s="4" t="s">
        <v>373</v>
      </c>
      <c r="G61" s="4" t="s">
        <v>374</v>
      </c>
      <c r="H61" s="4" t="s">
        <v>375</v>
      </c>
      <c r="I61" s="5" t="s">
        <v>18</v>
      </c>
      <c r="J61" s="4"/>
    </row>
    <row r="62" ht="15.75" customHeight="1">
      <c r="A62" s="4" t="s">
        <v>286</v>
      </c>
      <c r="B62" s="4" t="s">
        <v>238</v>
      </c>
      <c r="C62" s="3" t="s">
        <v>112</v>
      </c>
      <c r="D62" s="4" t="s">
        <v>376</v>
      </c>
      <c r="E62" s="4" t="s">
        <v>377</v>
      </c>
      <c r="F62" s="4" t="s">
        <v>378</v>
      </c>
      <c r="G62" s="4" t="s">
        <v>379</v>
      </c>
      <c r="H62" s="4" t="s">
        <v>298</v>
      </c>
      <c r="I62" s="7" t="s">
        <v>74</v>
      </c>
      <c r="J62" s="4"/>
    </row>
    <row r="63" ht="15.75" customHeight="1">
      <c r="A63" s="4" t="s">
        <v>380</v>
      </c>
      <c r="B63" s="4" t="s">
        <v>158</v>
      </c>
      <c r="C63" s="3" t="s">
        <v>112</v>
      </c>
      <c r="D63" s="4" t="s">
        <v>381</v>
      </c>
      <c r="E63" s="4" t="s">
        <v>382</v>
      </c>
      <c r="F63" s="4" t="s">
        <v>383</v>
      </c>
      <c r="G63" s="4" t="s">
        <v>384</v>
      </c>
      <c r="H63" s="4" t="s">
        <v>385</v>
      </c>
      <c r="I63" s="7" t="s">
        <v>74</v>
      </c>
      <c r="J63" s="4"/>
    </row>
    <row r="64" ht="15.75" customHeight="1">
      <c r="A64" s="4" t="s">
        <v>292</v>
      </c>
      <c r="B64" s="4" t="s">
        <v>220</v>
      </c>
      <c r="C64" s="3" t="s">
        <v>112</v>
      </c>
      <c r="D64" s="4" t="s">
        <v>386</v>
      </c>
      <c r="E64" s="4" t="s">
        <v>387</v>
      </c>
      <c r="F64" s="4" t="s">
        <v>388</v>
      </c>
      <c r="G64" s="4" t="s">
        <v>389</v>
      </c>
      <c r="H64" s="4" t="s">
        <v>315</v>
      </c>
      <c r="I64" s="7" t="s">
        <v>74</v>
      </c>
      <c r="J64" s="4"/>
    </row>
    <row r="65" ht="15.75" customHeight="1">
      <c r="A65" s="4" t="s">
        <v>304</v>
      </c>
      <c r="B65" s="4" t="s">
        <v>158</v>
      </c>
      <c r="C65" s="3" t="s">
        <v>112</v>
      </c>
      <c r="D65" s="4" t="s">
        <v>390</v>
      </c>
      <c r="E65" s="4" t="s">
        <v>391</v>
      </c>
      <c r="F65" s="4" t="s">
        <v>392</v>
      </c>
      <c r="G65" s="4" t="s">
        <v>393</v>
      </c>
      <c r="H65" s="4" t="s">
        <v>394</v>
      </c>
      <c r="I65" s="7" t="s">
        <v>74</v>
      </c>
      <c r="J65" s="4"/>
    </row>
    <row r="66" ht="15.75" customHeight="1">
      <c r="A66" s="4" t="s">
        <v>317</v>
      </c>
      <c r="B66" s="4" t="s">
        <v>281</v>
      </c>
      <c r="C66" s="3" t="s">
        <v>112</v>
      </c>
      <c r="D66" s="4" t="s">
        <v>395</v>
      </c>
      <c r="E66" s="4" t="s">
        <v>396</v>
      </c>
      <c r="F66" s="4" t="s">
        <v>397</v>
      </c>
      <c r="G66" s="4" t="s">
        <v>398</v>
      </c>
      <c r="H66" s="4" t="s">
        <v>25</v>
      </c>
      <c r="I66" s="7" t="s">
        <v>74</v>
      </c>
      <c r="J66" s="4"/>
    </row>
    <row r="67" ht="15.75" customHeight="1">
      <c r="A67" s="4" t="s">
        <v>322</v>
      </c>
      <c r="B67" s="4" t="s">
        <v>238</v>
      </c>
      <c r="C67" s="3" t="s">
        <v>112</v>
      </c>
      <c r="D67" s="4" t="s">
        <v>399</v>
      </c>
      <c r="E67" s="4" t="s">
        <v>400</v>
      </c>
      <c r="F67" s="4" t="s">
        <v>401</v>
      </c>
      <c r="G67" s="4" t="s">
        <v>402</v>
      </c>
      <c r="H67" s="4" t="s">
        <v>403</v>
      </c>
      <c r="I67" s="7" t="s">
        <v>74</v>
      </c>
      <c r="J67" s="4"/>
    </row>
    <row r="68" ht="15.75" customHeight="1">
      <c r="A68" s="4" t="s">
        <v>322</v>
      </c>
      <c r="B68" s="4" t="s">
        <v>281</v>
      </c>
      <c r="C68" s="3" t="s">
        <v>112</v>
      </c>
      <c r="D68" s="4" t="s">
        <v>404</v>
      </c>
      <c r="E68" s="4" t="s">
        <v>405</v>
      </c>
      <c r="F68" s="4" t="s">
        <v>406</v>
      </c>
      <c r="G68" s="4" t="s">
        <v>407</v>
      </c>
      <c r="H68" s="4" t="s">
        <v>129</v>
      </c>
      <c r="I68" s="7" t="s">
        <v>74</v>
      </c>
      <c r="J68" s="4"/>
    </row>
    <row r="69" ht="15.75" customHeight="1">
      <c r="A69" s="4" t="s">
        <v>332</v>
      </c>
      <c r="B69" s="4" t="s">
        <v>293</v>
      </c>
      <c r="C69" s="3" t="s">
        <v>112</v>
      </c>
      <c r="D69" s="4" t="s">
        <v>408</v>
      </c>
      <c r="E69" s="4" t="s">
        <v>409</v>
      </c>
      <c r="F69" s="4" t="s">
        <v>410</v>
      </c>
      <c r="G69" s="4" t="s">
        <v>411</v>
      </c>
      <c r="H69" s="4" t="s">
        <v>25</v>
      </c>
      <c r="I69" s="7" t="s">
        <v>74</v>
      </c>
      <c r="J69" s="4"/>
    </row>
    <row r="70" ht="15.75" customHeight="1">
      <c r="A70" s="4" t="s">
        <v>332</v>
      </c>
      <c r="B70" s="4" t="s">
        <v>190</v>
      </c>
      <c r="C70" s="3" t="s">
        <v>112</v>
      </c>
      <c r="D70" s="4" t="s">
        <v>412</v>
      </c>
      <c r="E70" s="4" t="s">
        <v>413</v>
      </c>
      <c r="F70" s="4" t="s">
        <v>414</v>
      </c>
      <c r="G70" s="4" t="s">
        <v>415</v>
      </c>
      <c r="H70" s="4" t="s">
        <v>416</v>
      </c>
      <c r="I70" s="7" t="s">
        <v>74</v>
      </c>
      <c r="J70" s="4"/>
    </row>
    <row r="71" ht="15.75" customHeight="1">
      <c r="A71" s="4" t="s">
        <v>332</v>
      </c>
      <c r="B71" s="4" t="s">
        <v>238</v>
      </c>
      <c r="C71" s="3" t="s">
        <v>112</v>
      </c>
      <c r="D71" s="4" t="s">
        <v>417</v>
      </c>
      <c r="E71" s="4" t="s">
        <v>418</v>
      </c>
      <c r="F71" s="4" t="s">
        <v>419</v>
      </c>
      <c r="G71" s="4" t="s">
        <v>420</v>
      </c>
      <c r="H71" s="4" t="s">
        <v>421</v>
      </c>
      <c r="I71" s="7" t="s">
        <v>74</v>
      </c>
      <c r="J71" s="4"/>
    </row>
    <row r="72" ht="15.75" customHeight="1">
      <c r="A72" s="4" t="s">
        <v>360</v>
      </c>
      <c r="B72" s="4" t="s">
        <v>238</v>
      </c>
      <c r="C72" s="3" t="s">
        <v>112</v>
      </c>
      <c r="D72" s="4" t="s">
        <v>422</v>
      </c>
      <c r="E72" s="4" t="s">
        <v>423</v>
      </c>
      <c r="F72" s="4" t="s">
        <v>424</v>
      </c>
      <c r="G72" s="4" t="s">
        <v>425</v>
      </c>
      <c r="H72" s="4" t="s">
        <v>426</v>
      </c>
      <c r="I72" s="7" t="s">
        <v>74</v>
      </c>
      <c r="J72" s="4"/>
    </row>
    <row r="73" ht="15.75" customHeight="1">
      <c r="A73" s="4" t="s">
        <v>427</v>
      </c>
      <c r="B73" s="2" t="s">
        <v>428</v>
      </c>
      <c r="C73" s="3" t="s">
        <v>12</v>
      </c>
      <c r="D73" s="2" t="s">
        <v>429</v>
      </c>
      <c r="E73" s="2" t="s">
        <v>430</v>
      </c>
      <c r="F73" s="2" t="s">
        <v>431</v>
      </c>
      <c r="G73" s="2" t="s">
        <v>432</v>
      </c>
      <c r="H73" s="4" t="s">
        <v>433</v>
      </c>
      <c r="I73" s="7" t="s">
        <v>74</v>
      </c>
      <c r="J73" s="2" t="s">
        <v>434</v>
      </c>
    </row>
    <row r="74" ht="15.75" customHeight="1">
      <c r="A74" s="2" t="s">
        <v>435</v>
      </c>
      <c r="B74" s="2" t="s">
        <v>436</v>
      </c>
      <c r="C74" s="3" t="s">
        <v>12</v>
      </c>
      <c r="D74" s="2" t="s">
        <v>437</v>
      </c>
      <c r="E74" s="2" t="s">
        <v>438</v>
      </c>
      <c r="F74" s="2" t="s">
        <v>439</v>
      </c>
      <c r="G74" s="2" t="s">
        <v>440</v>
      </c>
      <c r="H74" s="4" t="s">
        <v>25</v>
      </c>
      <c r="I74" s="5" t="s">
        <v>18</v>
      </c>
      <c r="J74" s="4" t="s">
        <v>441</v>
      </c>
    </row>
    <row r="75" ht="15.75" customHeight="1">
      <c r="A75" s="2" t="s">
        <v>435</v>
      </c>
      <c r="B75" s="2" t="s">
        <v>442</v>
      </c>
      <c r="C75" s="3" t="s">
        <v>12</v>
      </c>
      <c r="D75" s="2" t="s">
        <v>443</v>
      </c>
      <c r="E75" s="2" t="s">
        <v>444</v>
      </c>
      <c r="F75" s="2" t="s">
        <v>445</v>
      </c>
      <c r="G75" s="2" t="s">
        <v>446</v>
      </c>
      <c r="H75" s="4" t="s">
        <v>156</v>
      </c>
      <c r="I75" s="5" t="s">
        <v>18</v>
      </c>
      <c r="J75" s="2" t="s">
        <v>447</v>
      </c>
    </row>
    <row r="76" ht="15.75" customHeight="1">
      <c r="A76" s="2" t="s">
        <v>435</v>
      </c>
      <c r="B76" s="2" t="s">
        <v>448</v>
      </c>
      <c r="C76" s="3" t="s">
        <v>12</v>
      </c>
      <c r="D76" s="2" t="s">
        <v>449</v>
      </c>
      <c r="E76" s="2" t="s">
        <v>450</v>
      </c>
      <c r="F76" s="2" t="s">
        <v>451</v>
      </c>
      <c r="G76" s="2" t="s">
        <v>452</v>
      </c>
      <c r="H76" s="4" t="s">
        <v>453</v>
      </c>
      <c r="I76" s="5" t="s">
        <v>18</v>
      </c>
      <c r="J76" s="2" t="s">
        <v>454</v>
      </c>
    </row>
    <row r="77" ht="15.75" customHeight="1">
      <c r="A77" s="4" t="s">
        <v>455</v>
      </c>
      <c r="B77" s="2" t="s">
        <v>456</v>
      </c>
      <c r="C77" s="3" t="s">
        <v>12</v>
      </c>
      <c r="D77" s="2" t="s">
        <v>457</v>
      </c>
      <c r="E77" s="2" t="s">
        <v>458</v>
      </c>
      <c r="F77" s="2" t="s">
        <v>459</v>
      </c>
      <c r="G77" s="2" t="s">
        <v>460</v>
      </c>
      <c r="H77" s="4" t="s">
        <v>156</v>
      </c>
      <c r="I77" s="5" t="s">
        <v>18</v>
      </c>
      <c r="J77" s="4"/>
    </row>
    <row r="78" ht="15.75" customHeight="1">
      <c r="A78" s="4" t="s">
        <v>461</v>
      </c>
      <c r="B78" s="4" t="s">
        <v>20</v>
      </c>
      <c r="C78" s="3" t="s">
        <v>12</v>
      </c>
      <c r="D78" s="2" t="s">
        <v>462</v>
      </c>
      <c r="E78" s="2" t="s">
        <v>463</v>
      </c>
      <c r="F78" s="2" t="s">
        <v>464</v>
      </c>
      <c r="G78" s="2" t="s">
        <v>465</v>
      </c>
      <c r="H78" s="4" t="s">
        <v>365</v>
      </c>
      <c r="I78" s="5" t="s">
        <v>18</v>
      </c>
      <c r="J78" s="4"/>
    </row>
    <row r="79" ht="15.75" customHeight="1">
      <c r="A79" s="4" t="s">
        <v>461</v>
      </c>
      <c r="B79" s="2" t="s">
        <v>466</v>
      </c>
      <c r="C79" s="3" t="s">
        <v>12</v>
      </c>
      <c r="D79" s="2" t="s">
        <v>467</v>
      </c>
      <c r="E79" s="2" t="s">
        <v>468</v>
      </c>
      <c r="F79" s="2" t="s">
        <v>469</v>
      </c>
      <c r="G79" s="2" t="s">
        <v>470</v>
      </c>
      <c r="H79" s="4" t="s">
        <v>156</v>
      </c>
      <c r="I79" s="5" t="s">
        <v>18</v>
      </c>
      <c r="J79" s="4"/>
    </row>
    <row r="80" ht="15.75" customHeight="1">
      <c r="A80" s="4" t="s">
        <v>471</v>
      </c>
      <c r="B80" s="2" t="s">
        <v>472</v>
      </c>
      <c r="C80" s="3" t="s">
        <v>12</v>
      </c>
      <c r="D80" s="2" t="s">
        <v>473</v>
      </c>
      <c r="E80" s="2" t="s">
        <v>474</v>
      </c>
      <c r="F80" s="2" t="s">
        <v>475</v>
      </c>
      <c r="G80" s="2" t="s">
        <v>476</v>
      </c>
      <c r="H80" s="4" t="s">
        <v>67</v>
      </c>
      <c r="I80" s="5" t="s">
        <v>18</v>
      </c>
      <c r="J80" s="4"/>
    </row>
    <row r="81" ht="15.75" customHeight="1">
      <c r="A81" s="4" t="s">
        <v>477</v>
      </c>
      <c r="B81" s="2" t="s">
        <v>478</v>
      </c>
      <c r="C81" s="3" t="s">
        <v>12</v>
      </c>
      <c r="D81" s="2" t="s">
        <v>479</v>
      </c>
      <c r="E81" s="2" t="s">
        <v>480</v>
      </c>
      <c r="F81" s="2" t="s">
        <v>481</v>
      </c>
      <c r="G81" s="2" t="s">
        <v>482</v>
      </c>
      <c r="H81" s="4" t="s">
        <v>231</v>
      </c>
      <c r="I81" s="5" t="s">
        <v>18</v>
      </c>
      <c r="J81" s="4"/>
    </row>
    <row r="82" ht="15.75" customHeight="1">
      <c r="A82" s="4" t="s">
        <v>483</v>
      </c>
      <c r="B82" s="2" t="s">
        <v>436</v>
      </c>
      <c r="C82" s="3" t="s">
        <v>12</v>
      </c>
      <c r="D82" s="2" t="s">
        <v>484</v>
      </c>
      <c r="E82" s="2" t="s">
        <v>485</v>
      </c>
      <c r="F82" s="2" t="s">
        <v>486</v>
      </c>
      <c r="G82" s="2" t="s">
        <v>487</v>
      </c>
      <c r="H82" s="4" t="s">
        <v>156</v>
      </c>
      <c r="I82" s="5" t="s">
        <v>18</v>
      </c>
      <c r="J82" s="2" t="s">
        <v>488</v>
      </c>
    </row>
    <row r="83" ht="15.75" customHeight="1">
      <c r="A83" s="4" t="s">
        <v>489</v>
      </c>
      <c r="B83" s="2" t="s">
        <v>436</v>
      </c>
      <c r="C83" s="3" t="s">
        <v>12</v>
      </c>
      <c r="D83" s="2" t="s">
        <v>490</v>
      </c>
      <c r="E83" s="2" t="s">
        <v>491</v>
      </c>
      <c r="F83" s="2" t="s">
        <v>492</v>
      </c>
      <c r="G83" s="2" t="s">
        <v>493</v>
      </c>
      <c r="H83" s="4" t="s">
        <v>156</v>
      </c>
      <c r="I83" s="5" t="s">
        <v>18</v>
      </c>
      <c r="J83" s="2" t="s">
        <v>494</v>
      </c>
    </row>
    <row r="84" ht="15.75" customHeight="1">
      <c r="A84" s="4" t="s">
        <v>495</v>
      </c>
      <c r="B84" s="2" t="s">
        <v>472</v>
      </c>
      <c r="C84" s="3" t="s">
        <v>12</v>
      </c>
      <c r="D84" s="2" t="s">
        <v>496</v>
      </c>
      <c r="E84" s="2" t="s">
        <v>497</v>
      </c>
      <c r="F84" s="2" t="s">
        <v>498</v>
      </c>
      <c r="G84" s="2" t="s">
        <v>499</v>
      </c>
      <c r="H84" s="4" t="s">
        <v>67</v>
      </c>
      <c r="I84" s="5" t="s">
        <v>18</v>
      </c>
      <c r="J84" s="4"/>
    </row>
    <row r="85" ht="15.75" customHeight="1">
      <c r="A85" s="4" t="s">
        <v>500</v>
      </c>
      <c r="B85" s="2" t="s">
        <v>436</v>
      </c>
      <c r="C85" s="3" t="s">
        <v>12</v>
      </c>
      <c r="D85" s="2" t="s">
        <v>501</v>
      </c>
      <c r="E85" s="2" t="s">
        <v>502</v>
      </c>
      <c r="F85" s="2" t="s">
        <v>503</v>
      </c>
      <c r="G85" s="2" t="s">
        <v>504</v>
      </c>
      <c r="H85" s="4" t="s">
        <v>156</v>
      </c>
      <c r="I85" s="5" t="s">
        <v>18</v>
      </c>
      <c r="J85" s="4"/>
    </row>
    <row r="86" ht="15.75" customHeight="1">
      <c r="A86" s="4" t="s">
        <v>505</v>
      </c>
      <c r="B86" s="2" t="s">
        <v>436</v>
      </c>
      <c r="C86" s="3" t="s">
        <v>12</v>
      </c>
      <c r="D86" s="2" t="s">
        <v>506</v>
      </c>
      <c r="E86" s="2" t="s">
        <v>507</v>
      </c>
      <c r="F86" s="2" t="s">
        <v>508</v>
      </c>
      <c r="G86" s="2" t="s">
        <v>509</v>
      </c>
      <c r="H86" s="4" t="s">
        <v>195</v>
      </c>
      <c r="I86" s="5" t="s">
        <v>18</v>
      </c>
      <c r="J86" s="2" t="s">
        <v>510</v>
      </c>
    </row>
    <row r="87" ht="15.75" customHeight="1">
      <c r="A87" s="4" t="s">
        <v>511</v>
      </c>
      <c r="B87" s="2" t="s">
        <v>436</v>
      </c>
      <c r="C87" s="3" t="s">
        <v>12</v>
      </c>
      <c r="D87" s="2" t="s">
        <v>512</v>
      </c>
      <c r="E87" s="2" t="s">
        <v>513</v>
      </c>
      <c r="F87" s="2" t="s">
        <v>514</v>
      </c>
      <c r="G87" s="2" t="s">
        <v>515</v>
      </c>
      <c r="H87" s="4" t="s">
        <v>516</v>
      </c>
      <c r="I87" s="5" t="s">
        <v>18</v>
      </c>
      <c r="J87" s="4"/>
    </row>
    <row r="88" ht="15.75" customHeight="1">
      <c r="A88" s="4" t="s">
        <v>511</v>
      </c>
      <c r="B88" s="2" t="s">
        <v>436</v>
      </c>
      <c r="C88" s="3" t="s">
        <v>12</v>
      </c>
      <c r="D88" s="2" t="s">
        <v>517</v>
      </c>
      <c r="E88" s="2" t="s">
        <v>518</v>
      </c>
      <c r="F88" s="2" t="s">
        <v>519</v>
      </c>
      <c r="G88" s="2" t="s">
        <v>520</v>
      </c>
      <c r="H88" s="4" t="s">
        <v>53</v>
      </c>
      <c r="I88" s="5" t="s">
        <v>18</v>
      </c>
      <c r="J88" s="4"/>
    </row>
    <row r="89" ht="15.75" customHeight="1">
      <c r="A89" s="4" t="s">
        <v>511</v>
      </c>
      <c r="B89" s="2" t="s">
        <v>521</v>
      </c>
      <c r="C89" s="3" t="s">
        <v>12</v>
      </c>
      <c r="D89" s="2" t="s">
        <v>522</v>
      </c>
      <c r="E89" s="2" t="s">
        <v>523</v>
      </c>
      <c r="F89" s="2" t="s">
        <v>524</v>
      </c>
      <c r="G89" s="2" t="s">
        <v>525</v>
      </c>
      <c r="H89" s="4" t="s">
        <v>526</v>
      </c>
      <c r="I89" s="5" t="s">
        <v>18</v>
      </c>
      <c r="J89" s="2" t="s">
        <v>527</v>
      </c>
    </row>
    <row r="90" ht="15.75" customHeight="1">
      <c r="A90" s="4" t="s">
        <v>528</v>
      </c>
      <c r="B90" s="2" t="s">
        <v>529</v>
      </c>
      <c r="C90" s="3" t="s">
        <v>12</v>
      </c>
      <c r="D90" s="2" t="s">
        <v>530</v>
      </c>
      <c r="E90" s="2" t="s">
        <v>531</v>
      </c>
      <c r="F90" s="2" t="s">
        <v>532</v>
      </c>
      <c r="G90" s="2" t="s">
        <v>533</v>
      </c>
      <c r="H90" s="4" t="s">
        <v>231</v>
      </c>
      <c r="I90" s="5" t="s">
        <v>18</v>
      </c>
      <c r="J90" s="2" t="s">
        <v>534</v>
      </c>
    </row>
    <row r="91" ht="15.75" customHeight="1">
      <c r="A91" s="4" t="s">
        <v>535</v>
      </c>
      <c r="B91" s="2" t="s">
        <v>456</v>
      </c>
      <c r="C91" s="3" t="s">
        <v>12</v>
      </c>
      <c r="D91" s="2" t="s">
        <v>536</v>
      </c>
      <c r="E91" s="2" t="s">
        <v>537</v>
      </c>
      <c r="F91" s="2" t="s">
        <v>538</v>
      </c>
      <c r="G91" s="2" t="s">
        <v>539</v>
      </c>
      <c r="H91" s="4" t="s">
        <v>195</v>
      </c>
      <c r="I91" s="5" t="s">
        <v>18</v>
      </c>
      <c r="J91" s="2" t="s">
        <v>540</v>
      </c>
    </row>
    <row r="92" ht="15.75" customHeight="1">
      <c r="A92" s="4" t="s">
        <v>541</v>
      </c>
      <c r="B92" s="2" t="s">
        <v>436</v>
      </c>
      <c r="C92" s="3" t="s">
        <v>12</v>
      </c>
      <c r="D92" s="2" t="s">
        <v>542</v>
      </c>
      <c r="E92" s="2" t="s">
        <v>543</v>
      </c>
      <c r="F92" s="2" t="s">
        <v>544</v>
      </c>
      <c r="G92" s="2" t="s">
        <v>545</v>
      </c>
      <c r="H92" s="4" t="s">
        <v>156</v>
      </c>
      <c r="I92" s="5" t="s">
        <v>18</v>
      </c>
      <c r="J92" s="4"/>
    </row>
    <row r="93" ht="15.75" customHeight="1">
      <c r="A93" s="4" t="s">
        <v>546</v>
      </c>
      <c r="B93" s="2" t="s">
        <v>456</v>
      </c>
      <c r="C93" s="3" t="s">
        <v>12</v>
      </c>
      <c r="D93" s="2" t="s">
        <v>547</v>
      </c>
      <c r="E93" s="2" t="s">
        <v>548</v>
      </c>
      <c r="F93" s="2" t="s">
        <v>549</v>
      </c>
      <c r="G93" s="2" t="s">
        <v>550</v>
      </c>
      <c r="H93" s="4" t="s">
        <v>365</v>
      </c>
      <c r="I93" s="5" t="s">
        <v>18</v>
      </c>
      <c r="J93" s="4"/>
    </row>
    <row r="94" ht="15.75" customHeight="1">
      <c r="A94" s="4" t="s">
        <v>546</v>
      </c>
      <c r="B94" s="2" t="s">
        <v>436</v>
      </c>
      <c r="C94" s="3" t="s">
        <v>12</v>
      </c>
      <c r="D94" s="2" t="s">
        <v>551</v>
      </c>
      <c r="E94" s="2" t="s">
        <v>552</v>
      </c>
      <c r="F94" s="2" t="s">
        <v>553</v>
      </c>
      <c r="G94" s="2" t="s">
        <v>554</v>
      </c>
      <c r="H94" s="4" t="s">
        <v>156</v>
      </c>
      <c r="I94" s="5" t="s">
        <v>18</v>
      </c>
      <c r="J94" s="4"/>
    </row>
    <row r="95" ht="15.75" customHeight="1">
      <c r="A95" s="2" t="s">
        <v>435</v>
      </c>
      <c r="B95" s="2" t="s">
        <v>436</v>
      </c>
      <c r="C95" s="3" t="s">
        <v>12</v>
      </c>
      <c r="D95" s="2" t="s">
        <v>555</v>
      </c>
      <c r="E95" s="2" t="s">
        <v>556</v>
      </c>
      <c r="F95" s="2" t="s">
        <v>557</v>
      </c>
      <c r="G95" s="2" t="s">
        <v>558</v>
      </c>
      <c r="H95" s="4" t="s">
        <v>262</v>
      </c>
      <c r="I95" s="7" t="s">
        <v>74</v>
      </c>
      <c r="J95" s="2" t="s">
        <v>559</v>
      </c>
    </row>
    <row r="96" ht="15.75" customHeight="1">
      <c r="A96" s="2" t="s">
        <v>435</v>
      </c>
      <c r="B96" s="2" t="s">
        <v>456</v>
      </c>
      <c r="C96" s="3" t="s">
        <v>12</v>
      </c>
      <c r="D96" s="2" t="s">
        <v>560</v>
      </c>
      <c r="E96" s="2" t="s">
        <v>561</v>
      </c>
      <c r="F96" s="2" t="s">
        <v>562</v>
      </c>
      <c r="G96" s="2" t="s">
        <v>563</v>
      </c>
      <c r="H96" s="4" t="s">
        <v>564</v>
      </c>
      <c r="I96" s="7" t="s">
        <v>74</v>
      </c>
      <c r="J96" s="2" t="s">
        <v>565</v>
      </c>
    </row>
    <row r="97" ht="15.75" customHeight="1">
      <c r="A97" s="4" t="s">
        <v>455</v>
      </c>
      <c r="B97" s="2" t="s">
        <v>436</v>
      </c>
      <c r="C97" s="3" t="s">
        <v>12</v>
      </c>
      <c r="D97" s="2" t="s">
        <v>566</v>
      </c>
      <c r="E97" s="2" t="s">
        <v>567</v>
      </c>
      <c r="F97" s="2" t="s">
        <v>568</v>
      </c>
      <c r="G97" s="2" t="s">
        <v>569</v>
      </c>
      <c r="H97" s="4" t="s">
        <v>93</v>
      </c>
      <c r="I97" s="7" t="s">
        <v>74</v>
      </c>
      <c r="J97" s="4"/>
    </row>
    <row r="98" ht="15.75" customHeight="1">
      <c r="A98" s="4" t="s">
        <v>461</v>
      </c>
      <c r="B98" s="2" t="s">
        <v>456</v>
      </c>
      <c r="C98" s="3" t="s">
        <v>12</v>
      </c>
      <c r="D98" s="2" t="s">
        <v>570</v>
      </c>
      <c r="E98" s="2" t="s">
        <v>571</v>
      </c>
      <c r="F98" s="2" t="s">
        <v>572</v>
      </c>
      <c r="G98" s="2" t="s">
        <v>573</v>
      </c>
      <c r="H98" s="4" t="s">
        <v>156</v>
      </c>
      <c r="I98" s="7" t="s">
        <v>74</v>
      </c>
      <c r="J98" s="4"/>
    </row>
    <row r="99" ht="15.75" customHeight="1">
      <c r="A99" s="4" t="s">
        <v>461</v>
      </c>
      <c r="B99" s="2" t="s">
        <v>436</v>
      </c>
      <c r="C99" s="3" t="s">
        <v>12</v>
      </c>
      <c r="D99" s="2" t="s">
        <v>574</v>
      </c>
      <c r="E99" s="2" t="s">
        <v>575</v>
      </c>
      <c r="F99" s="2" t="s">
        <v>576</v>
      </c>
      <c r="G99" s="2" t="s">
        <v>577</v>
      </c>
      <c r="H99" s="4" t="s">
        <v>578</v>
      </c>
      <c r="I99" s="7" t="s">
        <v>74</v>
      </c>
      <c r="J99" s="4"/>
    </row>
    <row r="100" ht="15.75" customHeight="1">
      <c r="A100" s="4" t="s">
        <v>579</v>
      </c>
      <c r="B100" s="2" t="s">
        <v>580</v>
      </c>
      <c r="C100" s="3" t="s">
        <v>12</v>
      </c>
      <c r="D100" s="2" t="s">
        <v>581</v>
      </c>
      <c r="E100" s="2" t="s">
        <v>582</v>
      </c>
      <c r="F100" s="2" t="s">
        <v>583</v>
      </c>
      <c r="G100" s="2" t="s">
        <v>584</v>
      </c>
      <c r="H100" s="4" t="s">
        <v>67</v>
      </c>
      <c r="I100" s="7" t="s">
        <v>74</v>
      </c>
      <c r="J100" s="4"/>
    </row>
    <row r="101" ht="15.75" customHeight="1">
      <c r="A101" s="4" t="s">
        <v>579</v>
      </c>
      <c r="B101" s="2" t="s">
        <v>436</v>
      </c>
      <c r="C101" s="3" t="s">
        <v>12</v>
      </c>
      <c r="D101" s="2" t="s">
        <v>585</v>
      </c>
      <c r="E101" s="2" t="s">
        <v>586</v>
      </c>
      <c r="F101" s="2" t="s">
        <v>587</v>
      </c>
      <c r="G101" s="2" t="s">
        <v>588</v>
      </c>
      <c r="H101" s="4" t="s">
        <v>100</v>
      </c>
      <c r="I101" s="7" t="s">
        <v>74</v>
      </c>
      <c r="J101" s="4"/>
    </row>
    <row r="102" ht="15.75" customHeight="1">
      <c r="A102" s="4" t="s">
        <v>579</v>
      </c>
      <c r="B102" s="2" t="s">
        <v>521</v>
      </c>
      <c r="C102" s="3" t="s">
        <v>12</v>
      </c>
      <c r="D102" s="2" t="s">
        <v>589</v>
      </c>
      <c r="E102" s="2" t="s">
        <v>590</v>
      </c>
      <c r="F102" s="2" t="s">
        <v>591</v>
      </c>
      <c r="G102" s="2" t="s">
        <v>592</v>
      </c>
      <c r="H102" s="4" t="s">
        <v>200</v>
      </c>
      <c r="I102" s="7" t="s">
        <v>74</v>
      </c>
      <c r="J102" s="4"/>
    </row>
    <row r="103" ht="15.75" customHeight="1">
      <c r="A103" s="4" t="s">
        <v>593</v>
      </c>
      <c r="B103" s="2" t="s">
        <v>436</v>
      </c>
      <c r="C103" s="3" t="s">
        <v>12</v>
      </c>
      <c r="D103" s="2" t="s">
        <v>594</v>
      </c>
      <c r="E103" s="2" t="s">
        <v>595</v>
      </c>
      <c r="F103" s="2" t="s">
        <v>596</v>
      </c>
      <c r="G103" s="2" t="s">
        <v>597</v>
      </c>
      <c r="H103" s="4" t="s">
        <v>156</v>
      </c>
      <c r="I103" s="7" t="s">
        <v>74</v>
      </c>
      <c r="J103" s="4"/>
    </row>
    <row r="104" ht="15.75" customHeight="1">
      <c r="A104" s="4" t="s">
        <v>471</v>
      </c>
      <c r="B104" s="2" t="s">
        <v>456</v>
      </c>
      <c r="C104" s="3" t="s">
        <v>12</v>
      </c>
      <c r="D104" s="2" t="s">
        <v>598</v>
      </c>
      <c r="E104" s="2" t="s">
        <v>599</v>
      </c>
      <c r="F104" s="2" t="s">
        <v>600</v>
      </c>
      <c r="G104" s="2" t="s">
        <v>601</v>
      </c>
      <c r="H104" s="4" t="s">
        <v>195</v>
      </c>
      <c r="I104" s="7" t="s">
        <v>74</v>
      </c>
      <c r="J104" s="4"/>
    </row>
    <row r="105" ht="15.75" customHeight="1">
      <c r="A105" s="4" t="s">
        <v>477</v>
      </c>
      <c r="B105" s="2" t="s">
        <v>436</v>
      </c>
      <c r="C105" s="3" t="s">
        <v>12</v>
      </c>
      <c r="D105" s="2" t="s">
        <v>602</v>
      </c>
      <c r="E105" s="2" t="s">
        <v>603</v>
      </c>
      <c r="F105" s="2" t="s">
        <v>604</v>
      </c>
      <c r="G105" s="2" t="s">
        <v>605</v>
      </c>
      <c r="H105" s="4" t="s">
        <v>156</v>
      </c>
      <c r="I105" s="7" t="s">
        <v>74</v>
      </c>
      <c r="J105" s="4"/>
    </row>
    <row r="106" ht="15.75" customHeight="1">
      <c r="A106" s="4" t="s">
        <v>606</v>
      </c>
      <c r="B106" s="2" t="s">
        <v>456</v>
      </c>
      <c r="C106" s="3" t="s">
        <v>12</v>
      </c>
      <c r="D106" s="2" t="s">
        <v>607</v>
      </c>
      <c r="E106" s="2" t="s">
        <v>608</v>
      </c>
      <c r="F106" s="2" t="s">
        <v>609</v>
      </c>
      <c r="G106" s="2" t="s">
        <v>610</v>
      </c>
      <c r="H106" s="4" t="s">
        <v>195</v>
      </c>
      <c r="I106" s="7" t="s">
        <v>74</v>
      </c>
      <c r="J106" s="4"/>
    </row>
    <row r="107" ht="15.75" customHeight="1">
      <c r="A107" s="4" t="s">
        <v>606</v>
      </c>
      <c r="B107" s="2" t="s">
        <v>436</v>
      </c>
      <c r="C107" s="3" t="s">
        <v>12</v>
      </c>
      <c r="D107" s="2" t="s">
        <v>611</v>
      </c>
      <c r="E107" s="2" t="s">
        <v>612</v>
      </c>
      <c r="F107" s="2" t="s">
        <v>613</v>
      </c>
      <c r="G107" s="2" t="s">
        <v>614</v>
      </c>
      <c r="H107" s="4" t="s">
        <v>516</v>
      </c>
      <c r="I107" s="7" t="s">
        <v>74</v>
      </c>
      <c r="J107" s="2" t="s">
        <v>615</v>
      </c>
    </row>
    <row r="108" ht="15.75" customHeight="1">
      <c r="A108" s="4" t="s">
        <v>489</v>
      </c>
      <c r="B108" s="2" t="s">
        <v>456</v>
      </c>
      <c r="C108" s="3" t="s">
        <v>12</v>
      </c>
      <c r="D108" s="2" t="s">
        <v>616</v>
      </c>
      <c r="E108" s="2" t="s">
        <v>617</v>
      </c>
      <c r="F108" s="2" t="s">
        <v>618</v>
      </c>
      <c r="G108" s="2" t="s">
        <v>619</v>
      </c>
      <c r="H108" s="4" t="s">
        <v>25</v>
      </c>
      <c r="I108" s="7" t="s">
        <v>74</v>
      </c>
      <c r="J108" s="4"/>
    </row>
    <row r="109" ht="15.75" customHeight="1">
      <c r="A109" s="4" t="s">
        <v>620</v>
      </c>
      <c r="B109" s="2" t="s">
        <v>436</v>
      </c>
      <c r="C109" s="3" t="s">
        <v>12</v>
      </c>
      <c r="D109" s="2" t="s">
        <v>621</v>
      </c>
      <c r="E109" s="2" t="s">
        <v>622</v>
      </c>
      <c r="F109" s="2" t="s">
        <v>623</v>
      </c>
      <c r="G109" s="2" t="s">
        <v>624</v>
      </c>
      <c r="H109" s="4" t="s">
        <v>195</v>
      </c>
      <c r="I109" s="7" t="s">
        <v>74</v>
      </c>
      <c r="J109" s="2" t="s">
        <v>625</v>
      </c>
    </row>
    <row r="110" ht="15.75" customHeight="1">
      <c r="A110" s="4" t="s">
        <v>626</v>
      </c>
      <c r="B110" s="2" t="s">
        <v>580</v>
      </c>
      <c r="C110" s="3" t="s">
        <v>12</v>
      </c>
      <c r="D110" s="2" t="s">
        <v>627</v>
      </c>
      <c r="E110" s="2" t="s">
        <v>628</v>
      </c>
      <c r="F110" s="2" t="s">
        <v>629</v>
      </c>
      <c r="G110" s="2" t="s">
        <v>630</v>
      </c>
      <c r="H110" s="4" t="s">
        <v>67</v>
      </c>
      <c r="I110" s="7" t="s">
        <v>74</v>
      </c>
      <c r="J110" s="4"/>
    </row>
    <row r="111" ht="15.75" customHeight="1">
      <c r="A111" s="4" t="s">
        <v>631</v>
      </c>
      <c r="B111" s="2" t="s">
        <v>436</v>
      </c>
      <c r="C111" s="3" t="s">
        <v>12</v>
      </c>
      <c r="D111" s="2" t="s">
        <v>632</v>
      </c>
      <c r="E111" s="2" t="s">
        <v>633</v>
      </c>
      <c r="F111" s="2" t="s">
        <v>634</v>
      </c>
      <c r="G111" s="2" t="s">
        <v>635</v>
      </c>
      <c r="H111" s="4" t="s">
        <v>636</v>
      </c>
      <c r="I111" s="7" t="s">
        <v>74</v>
      </c>
      <c r="J111" s="4"/>
    </row>
    <row r="112" ht="15.75" customHeight="1">
      <c r="A112" s="4" t="s">
        <v>505</v>
      </c>
      <c r="B112" s="2" t="s">
        <v>456</v>
      </c>
      <c r="C112" s="3" t="s">
        <v>12</v>
      </c>
      <c r="D112" s="2" t="s">
        <v>637</v>
      </c>
      <c r="E112" s="2" t="s">
        <v>638</v>
      </c>
      <c r="F112" s="2" t="s">
        <v>639</v>
      </c>
      <c r="G112" s="2" t="s">
        <v>640</v>
      </c>
      <c r="H112" s="4" t="s">
        <v>347</v>
      </c>
      <c r="I112" s="7" t="s">
        <v>74</v>
      </c>
      <c r="J112" s="2" t="s">
        <v>641</v>
      </c>
    </row>
    <row r="113" ht="15.75" customHeight="1">
      <c r="A113" s="4" t="s">
        <v>511</v>
      </c>
      <c r="B113" s="2" t="s">
        <v>436</v>
      </c>
      <c r="C113" s="3" t="s">
        <v>12</v>
      </c>
      <c r="D113" s="2" t="s">
        <v>642</v>
      </c>
      <c r="E113" s="2" t="s">
        <v>643</v>
      </c>
      <c r="F113" s="2" t="s">
        <v>644</v>
      </c>
      <c r="G113" s="2" t="s">
        <v>645</v>
      </c>
      <c r="H113" s="4" t="s">
        <v>25</v>
      </c>
      <c r="I113" s="7" t="s">
        <v>74</v>
      </c>
      <c r="J113" s="4"/>
    </row>
    <row r="114" ht="15.75" customHeight="1">
      <c r="A114" s="4" t="s">
        <v>646</v>
      </c>
      <c r="B114" s="4" t="s">
        <v>20</v>
      </c>
      <c r="C114" s="3" t="s">
        <v>12</v>
      </c>
      <c r="D114" s="2" t="s">
        <v>647</v>
      </c>
      <c r="E114" s="2" t="s">
        <v>648</v>
      </c>
      <c r="F114" s="2" t="s">
        <v>649</v>
      </c>
      <c r="G114" s="2" t="s">
        <v>650</v>
      </c>
      <c r="H114" s="4" t="s">
        <v>25</v>
      </c>
      <c r="I114" s="7" t="s">
        <v>74</v>
      </c>
      <c r="J114" s="4"/>
    </row>
    <row r="115" ht="15.75" customHeight="1">
      <c r="A115" s="4" t="s">
        <v>651</v>
      </c>
      <c r="B115" s="2" t="s">
        <v>436</v>
      </c>
      <c r="C115" s="3" t="s">
        <v>12</v>
      </c>
      <c r="D115" s="2" t="s">
        <v>652</v>
      </c>
      <c r="E115" s="2" t="s">
        <v>653</v>
      </c>
      <c r="F115" s="2" t="s">
        <v>654</v>
      </c>
      <c r="G115" s="2" t="s">
        <v>655</v>
      </c>
      <c r="H115" s="4" t="s">
        <v>656</v>
      </c>
      <c r="I115" s="7" t="s">
        <v>74</v>
      </c>
      <c r="J115" s="4"/>
    </row>
    <row r="116" ht="15.75" customHeight="1">
      <c r="A116" s="4" t="s">
        <v>651</v>
      </c>
      <c r="B116" s="2" t="s">
        <v>436</v>
      </c>
      <c r="C116" s="3" t="s">
        <v>12</v>
      </c>
      <c r="D116" s="2" t="s">
        <v>657</v>
      </c>
      <c r="E116" s="2" t="s">
        <v>658</v>
      </c>
      <c r="F116" s="2" t="s">
        <v>659</v>
      </c>
      <c r="G116" s="2" t="s">
        <v>660</v>
      </c>
      <c r="H116" s="4" t="s">
        <v>516</v>
      </c>
      <c r="I116" s="7" t="s">
        <v>74</v>
      </c>
      <c r="J116" s="4"/>
    </row>
    <row r="117" ht="15.75" customHeight="1">
      <c r="A117" s="4" t="s">
        <v>546</v>
      </c>
      <c r="B117" s="2" t="s">
        <v>436</v>
      </c>
      <c r="C117" s="3" t="s">
        <v>12</v>
      </c>
      <c r="D117" s="2" t="s">
        <v>661</v>
      </c>
      <c r="E117" s="2" t="s">
        <v>662</v>
      </c>
      <c r="F117" s="2" t="s">
        <v>663</v>
      </c>
      <c r="G117" s="2" t="s">
        <v>664</v>
      </c>
      <c r="H117" s="4" t="s">
        <v>195</v>
      </c>
      <c r="I117" s="7" t="s">
        <v>74</v>
      </c>
      <c r="J117" s="4"/>
    </row>
    <row r="118" ht="15.75" customHeight="1">
      <c r="A118" s="4" t="s">
        <v>646</v>
      </c>
      <c r="B118" s="2" t="s">
        <v>456</v>
      </c>
      <c r="C118" s="3" t="s">
        <v>12</v>
      </c>
      <c r="D118" s="2" t="s">
        <v>665</v>
      </c>
      <c r="E118" s="2" t="s">
        <v>666</v>
      </c>
      <c r="F118" s="2" t="s">
        <v>667</v>
      </c>
      <c r="G118" s="2" t="s">
        <v>668</v>
      </c>
      <c r="H118" s="4" t="s">
        <v>231</v>
      </c>
      <c r="I118" s="8" t="s">
        <v>149</v>
      </c>
      <c r="J118" s="4"/>
    </row>
    <row r="119" ht="15.75" customHeight="1">
      <c r="A119" s="4" t="s">
        <v>669</v>
      </c>
      <c r="B119" s="2" t="s">
        <v>436</v>
      </c>
      <c r="C119" s="3" t="s">
        <v>12</v>
      </c>
      <c r="D119" s="2" t="s">
        <v>670</v>
      </c>
      <c r="E119" s="2" t="s">
        <v>671</v>
      </c>
      <c r="F119" s="2" t="s">
        <v>672</v>
      </c>
      <c r="G119" s="2" t="s">
        <v>673</v>
      </c>
      <c r="H119" s="4" t="s">
        <v>195</v>
      </c>
      <c r="I119" s="8" t="s">
        <v>149</v>
      </c>
      <c r="J119" s="4"/>
    </row>
    <row r="120" ht="15.75" customHeight="1">
      <c r="A120" s="4" t="s">
        <v>674</v>
      </c>
      <c r="B120" s="2" t="s">
        <v>675</v>
      </c>
      <c r="C120" s="3" t="s">
        <v>12</v>
      </c>
      <c r="D120" s="2" t="s">
        <v>676</v>
      </c>
      <c r="E120" s="2" t="s">
        <v>677</v>
      </c>
      <c r="F120" s="2" t="s">
        <v>678</v>
      </c>
      <c r="G120" s="2" t="s">
        <v>679</v>
      </c>
      <c r="H120" s="4" t="s">
        <v>656</v>
      </c>
      <c r="I120" s="8" t="s">
        <v>149</v>
      </c>
      <c r="J120" s="4"/>
    </row>
    <row r="121" ht="15.75" customHeight="1">
      <c r="A121" s="4" t="s">
        <v>680</v>
      </c>
      <c r="B121" s="4" t="s">
        <v>20</v>
      </c>
      <c r="C121" s="3" t="s">
        <v>12</v>
      </c>
      <c r="D121" s="2" t="s">
        <v>681</v>
      </c>
      <c r="E121" s="2" t="s">
        <v>682</v>
      </c>
      <c r="F121" s="2" t="s">
        <v>683</v>
      </c>
      <c r="G121" s="2" t="s">
        <v>684</v>
      </c>
      <c r="H121" s="4" t="s">
        <v>685</v>
      </c>
      <c r="I121" s="8" t="s">
        <v>149</v>
      </c>
      <c r="J121" s="4"/>
    </row>
    <row r="122" ht="15.75" customHeight="1">
      <c r="A122" s="4" t="s">
        <v>686</v>
      </c>
      <c r="B122" s="2" t="s">
        <v>456</v>
      </c>
      <c r="C122" s="3" t="s">
        <v>12</v>
      </c>
      <c r="D122" s="2" t="s">
        <v>687</v>
      </c>
      <c r="E122" s="2" t="s">
        <v>688</v>
      </c>
      <c r="F122" s="2" t="s">
        <v>689</v>
      </c>
      <c r="G122" s="2" t="s">
        <v>690</v>
      </c>
      <c r="H122" s="4" t="s">
        <v>156</v>
      </c>
      <c r="I122" s="8" t="s">
        <v>149</v>
      </c>
      <c r="J122" s="4"/>
    </row>
    <row r="123" ht="15.75" customHeight="1">
      <c r="A123" s="4" t="s">
        <v>691</v>
      </c>
      <c r="B123" s="4" t="s">
        <v>692</v>
      </c>
      <c r="C123" s="3" t="s">
        <v>112</v>
      </c>
      <c r="D123" s="4" t="s">
        <v>693</v>
      </c>
      <c r="E123" s="4" t="s">
        <v>694</v>
      </c>
      <c r="F123" s="4" t="s">
        <v>695</v>
      </c>
      <c r="G123" s="4" t="s">
        <v>696</v>
      </c>
      <c r="H123" s="4" t="s">
        <v>25</v>
      </c>
      <c r="I123" s="5" t="s">
        <v>18</v>
      </c>
      <c r="J123" s="4" t="s">
        <v>697</v>
      </c>
    </row>
    <row r="124" ht="15.75" customHeight="1">
      <c r="A124" s="4" t="s">
        <v>698</v>
      </c>
      <c r="B124" s="4" t="s">
        <v>692</v>
      </c>
      <c r="C124" s="3" t="s">
        <v>112</v>
      </c>
      <c r="D124" s="4" t="s">
        <v>699</v>
      </c>
      <c r="E124" s="4" t="s">
        <v>700</v>
      </c>
      <c r="F124" s="4" t="s">
        <v>701</v>
      </c>
      <c r="G124" s="4" t="s">
        <v>702</v>
      </c>
      <c r="H124" s="4" t="s">
        <v>703</v>
      </c>
      <c r="I124" s="5" t="s">
        <v>18</v>
      </c>
      <c r="J124" s="4"/>
    </row>
    <row r="125" ht="15.75" customHeight="1">
      <c r="A125" s="4" t="s">
        <v>698</v>
      </c>
      <c r="B125" s="4" t="s">
        <v>704</v>
      </c>
      <c r="C125" s="3" t="s">
        <v>112</v>
      </c>
      <c r="D125" s="4" t="s">
        <v>705</v>
      </c>
      <c r="E125" s="4" t="s">
        <v>706</v>
      </c>
      <c r="F125" s="4" t="s">
        <v>707</v>
      </c>
      <c r="G125" s="4" t="s">
        <v>708</v>
      </c>
      <c r="H125" s="4" t="s">
        <v>416</v>
      </c>
      <c r="I125" s="5" t="s">
        <v>18</v>
      </c>
      <c r="J125" s="4"/>
    </row>
    <row r="126" ht="15.75" customHeight="1">
      <c r="A126" s="4" t="s">
        <v>709</v>
      </c>
      <c r="B126" s="4" t="s">
        <v>692</v>
      </c>
      <c r="C126" s="3" t="s">
        <v>112</v>
      </c>
      <c r="D126" s="4" t="s">
        <v>710</v>
      </c>
      <c r="E126" s="4" t="s">
        <v>711</v>
      </c>
      <c r="F126" s="4" t="s">
        <v>712</v>
      </c>
      <c r="G126" s="4" t="s">
        <v>713</v>
      </c>
      <c r="H126" s="4" t="s">
        <v>195</v>
      </c>
      <c r="I126" s="5" t="s">
        <v>18</v>
      </c>
      <c r="J126" s="4"/>
    </row>
    <row r="127" ht="15.75" customHeight="1">
      <c r="A127" s="4" t="s">
        <v>714</v>
      </c>
      <c r="B127" s="4" t="s">
        <v>20</v>
      </c>
      <c r="C127" s="3" t="s">
        <v>112</v>
      </c>
      <c r="D127" s="4" t="s">
        <v>300</v>
      </c>
      <c r="E127" s="4" t="s">
        <v>715</v>
      </c>
      <c r="F127" s="4" t="s">
        <v>716</v>
      </c>
      <c r="G127" s="4" t="s">
        <v>717</v>
      </c>
      <c r="H127" s="4" t="s">
        <v>403</v>
      </c>
      <c r="I127" s="5" t="s">
        <v>18</v>
      </c>
      <c r="J127" s="4"/>
    </row>
    <row r="128" ht="15.75" customHeight="1">
      <c r="A128" s="4" t="s">
        <v>718</v>
      </c>
      <c r="B128" s="4" t="s">
        <v>719</v>
      </c>
      <c r="C128" s="3" t="s">
        <v>112</v>
      </c>
      <c r="D128" s="4" t="s">
        <v>720</v>
      </c>
      <c r="E128" s="4" t="s">
        <v>721</v>
      </c>
      <c r="F128" s="4" t="s">
        <v>722</v>
      </c>
      <c r="G128" s="4" t="s">
        <v>723</v>
      </c>
      <c r="H128" s="4" t="s">
        <v>385</v>
      </c>
      <c r="I128" s="5" t="s">
        <v>18</v>
      </c>
      <c r="J128" s="4"/>
    </row>
    <row r="129" ht="15.75" customHeight="1">
      <c r="A129" s="4" t="s">
        <v>724</v>
      </c>
      <c r="B129" s="4" t="s">
        <v>692</v>
      </c>
      <c r="C129" s="3" t="s">
        <v>112</v>
      </c>
      <c r="D129" s="4" t="s">
        <v>725</v>
      </c>
      <c r="E129" s="4" t="s">
        <v>726</v>
      </c>
      <c r="F129" s="4" t="s">
        <v>727</v>
      </c>
      <c r="G129" s="4" t="s">
        <v>728</v>
      </c>
      <c r="H129" s="4" t="s">
        <v>703</v>
      </c>
      <c r="I129" s="5" t="s">
        <v>18</v>
      </c>
      <c r="J129" s="4"/>
    </row>
    <row r="130" ht="15.75" customHeight="1">
      <c r="A130" s="4" t="s">
        <v>729</v>
      </c>
      <c r="B130" s="4" t="s">
        <v>692</v>
      </c>
      <c r="C130" s="3" t="s">
        <v>112</v>
      </c>
      <c r="D130" s="4" t="s">
        <v>730</v>
      </c>
      <c r="E130" s="4" t="s">
        <v>731</v>
      </c>
      <c r="F130" s="4" t="s">
        <v>732</v>
      </c>
      <c r="G130" s="4" t="s">
        <v>733</v>
      </c>
      <c r="H130" s="4" t="s">
        <v>734</v>
      </c>
      <c r="I130" s="5" t="s">
        <v>18</v>
      </c>
      <c r="J130" s="4" t="s">
        <v>735</v>
      </c>
    </row>
    <row r="131" ht="15.75" customHeight="1">
      <c r="A131" s="4" t="s">
        <v>736</v>
      </c>
      <c r="B131" s="4" t="s">
        <v>20</v>
      </c>
      <c r="C131" s="3" t="s">
        <v>112</v>
      </c>
      <c r="D131" s="4" t="s">
        <v>737</v>
      </c>
      <c r="E131" s="4" t="s">
        <v>738</v>
      </c>
      <c r="F131" s="4" t="s">
        <v>739</v>
      </c>
      <c r="G131" s="4" t="s">
        <v>740</v>
      </c>
      <c r="H131" s="4" t="s">
        <v>416</v>
      </c>
      <c r="I131" s="5" t="s">
        <v>18</v>
      </c>
      <c r="J131" s="4"/>
    </row>
    <row r="132" ht="15.75" customHeight="1">
      <c r="A132" s="4" t="s">
        <v>736</v>
      </c>
      <c r="B132" s="4" t="s">
        <v>692</v>
      </c>
      <c r="C132" s="3" t="s">
        <v>112</v>
      </c>
      <c r="D132" s="4" t="s">
        <v>741</v>
      </c>
      <c r="E132" s="4" t="s">
        <v>742</v>
      </c>
      <c r="F132" s="4" t="s">
        <v>743</v>
      </c>
      <c r="G132" s="4" t="s">
        <v>744</v>
      </c>
      <c r="H132" s="4" t="s">
        <v>745</v>
      </c>
      <c r="I132" s="5" t="s">
        <v>18</v>
      </c>
      <c r="J132" s="4" t="s">
        <v>746</v>
      </c>
    </row>
    <row r="133" ht="15.75" customHeight="1">
      <c r="A133" s="4" t="s">
        <v>747</v>
      </c>
      <c r="B133" s="4" t="s">
        <v>748</v>
      </c>
      <c r="C133" s="3" t="s">
        <v>112</v>
      </c>
      <c r="D133" s="4" t="s">
        <v>749</v>
      </c>
      <c r="E133" s="4" t="s">
        <v>750</v>
      </c>
      <c r="F133" s="4" t="s">
        <v>751</v>
      </c>
      <c r="G133" s="4" t="s">
        <v>752</v>
      </c>
      <c r="H133" s="4" t="s">
        <v>25</v>
      </c>
      <c r="I133" s="5" t="s">
        <v>18</v>
      </c>
      <c r="J133" s="4" t="s">
        <v>753</v>
      </c>
    </row>
    <row r="134" ht="15.75" customHeight="1">
      <c r="A134" s="4" t="s">
        <v>754</v>
      </c>
      <c r="B134" s="4" t="s">
        <v>755</v>
      </c>
      <c r="C134" s="3" t="s">
        <v>112</v>
      </c>
      <c r="D134" s="4" t="s">
        <v>756</v>
      </c>
      <c r="E134" s="4" t="s">
        <v>757</v>
      </c>
      <c r="F134" s="4" t="s">
        <v>758</v>
      </c>
      <c r="G134" s="4" t="s">
        <v>759</v>
      </c>
      <c r="H134" s="4" t="s">
        <v>25</v>
      </c>
      <c r="I134" s="5" t="s">
        <v>18</v>
      </c>
      <c r="J134" s="4" t="s">
        <v>760</v>
      </c>
    </row>
    <row r="135" ht="15.75" customHeight="1">
      <c r="A135" s="4" t="s">
        <v>761</v>
      </c>
      <c r="B135" s="4" t="s">
        <v>719</v>
      </c>
      <c r="C135" s="3" t="s">
        <v>112</v>
      </c>
      <c r="D135" s="4" t="s">
        <v>762</v>
      </c>
      <c r="E135" s="4" t="s">
        <v>763</v>
      </c>
      <c r="F135" s="4" t="s">
        <v>764</v>
      </c>
      <c r="G135" s="4" t="s">
        <v>765</v>
      </c>
      <c r="H135" s="4" t="s">
        <v>403</v>
      </c>
      <c r="I135" s="5" t="s">
        <v>18</v>
      </c>
      <c r="J135" s="4"/>
    </row>
    <row r="136" ht="15.75" customHeight="1">
      <c r="A136" s="4" t="s">
        <v>766</v>
      </c>
      <c r="B136" s="4" t="s">
        <v>704</v>
      </c>
      <c r="C136" s="3" t="s">
        <v>112</v>
      </c>
      <c r="D136" s="4" t="s">
        <v>767</v>
      </c>
      <c r="E136" s="4" t="s">
        <v>768</v>
      </c>
      <c r="F136" s="4" t="s">
        <v>769</v>
      </c>
      <c r="G136" s="4" t="s">
        <v>770</v>
      </c>
      <c r="H136" s="4" t="s">
        <v>403</v>
      </c>
      <c r="I136" s="5" t="s">
        <v>18</v>
      </c>
      <c r="J136" s="4"/>
    </row>
    <row r="137" ht="15.75" customHeight="1">
      <c r="A137" s="4" t="s">
        <v>771</v>
      </c>
      <c r="B137" s="4" t="s">
        <v>692</v>
      </c>
      <c r="C137" s="3" t="s">
        <v>112</v>
      </c>
      <c r="D137" s="4" t="s">
        <v>772</v>
      </c>
      <c r="E137" s="4" t="s">
        <v>773</v>
      </c>
      <c r="F137" s="4" t="s">
        <v>774</v>
      </c>
      <c r="G137" s="4" t="s">
        <v>775</v>
      </c>
      <c r="H137" s="4" t="s">
        <v>25</v>
      </c>
      <c r="I137" s="5" t="s">
        <v>18</v>
      </c>
      <c r="J137" s="4"/>
    </row>
    <row r="138" ht="15.75" customHeight="1">
      <c r="A138" s="4" t="s">
        <v>776</v>
      </c>
      <c r="B138" s="4" t="s">
        <v>748</v>
      </c>
      <c r="C138" s="3" t="s">
        <v>112</v>
      </c>
      <c r="D138" s="4" t="s">
        <v>777</v>
      </c>
      <c r="E138" s="4" t="s">
        <v>778</v>
      </c>
      <c r="F138" s="4" t="s">
        <v>779</v>
      </c>
      <c r="G138" s="4" t="s">
        <v>780</v>
      </c>
      <c r="H138" s="4" t="s">
        <v>416</v>
      </c>
      <c r="I138" s="5" t="s">
        <v>18</v>
      </c>
      <c r="J138" s="4" t="s">
        <v>781</v>
      </c>
    </row>
    <row r="139" ht="15.75" customHeight="1">
      <c r="A139" s="4" t="s">
        <v>782</v>
      </c>
      <c r="B139" s="4" t="s">
        <v>692</v>
      </c>
      <c r="C139" s="3" t="s">
        <v>112</v>
      </c>
      <c r="D139" s="4" t="s">
        <v>783</v>
      </c>
      <c r="E139" s="4" t="s">
        <v>784</v>
      </c>
      <c r="F139" s="4" t="s">
        <v>785</v>
      </c>
      <c r="G139" s="4" t="s">
        <v>786</v>
      </c>
      <c r="H139" s="4" t="s">
        <v>403</v>
      </c>
      <c r="I139" s="5" t="s">
        <v>18</v>
      </c>
      <c r="J139" s="4"/>
    </row>
    <row r="140" ht="15.75" customHeight="1">
      <c r="A140" s="4" t="s">
        <v>787</v>
      </c>
      <c r="B140" s="4" t="s">
        <v>788</v>
      </c>
      <c r="C140" s="3" t="s">
        <v>112</v>
      </c>
      <c r="D140" s="4" t="s">
        <v>789</v>
      </c>
      <c r="E140" s="4" t="s">
        <v>790</v>
      </c>
      <c r="F140" s="4" t="s">
        <v>791</v>
      </c>
      <c r="G140" s="4" t="s">
        <v>792</v>
      </c>
      <c r="H140" s="4" t="s">
        <v>337</v>
      </c>
      <c r="I140" s="7" t="s">
        <v>74</v>
      </c>
      <c r="J140" s="4" t="s">
        <v>793</v>
      </c>
    </row>
    <row r="141" ht="15.75" customHeight="1">
      <c r="A141" s="4" t="s">
        <v>794</v>
      </c>
      <c r="B141" s="4" t="s">
        <v>692</v>
      </c>
      <c r="C141" s="3" t="s">
        <v>112</v>
      </c>
      <c r="D141" s="4" t="s">
        <v>795</v>
      </c>
      <c r="E141" s="4" t="s">
        <v>796</v>
      </c>
      <c r="F141" s="4" t="s">
        <v>797</v>
      </c>
      <c r="G141" s="4" t="s">
        <v>798</v>
      </c>
      <c r="H141" s="4" t="s">
        <v>358</v>
      </c>
      <c r="I141" s="7" t="s">
        <v>74</v>
      </c>
      <c r="J141" s="4" t="s">
        <v>799</v>
      </c>
    </row>
    <row r="142" ht="15.75" customHeight="1">
      <c r="A142" s="4" t="s">
        <v>800</v>
      </c>
      <c r="B142" s="4" t="s">
        <v>692</v>
      </c>
      <c r="C142" s="3" t="s">
        <v>112</v>
      </c>
      <c r="D142" s="4" t="s">
        <v>801</v>
      </c>
      <c r="E142" s="4" t="s">
        <v>802</v>
      </c>
      <c r="F142" s="4" t="s">
        <v>803</v>
      </c>
      <c r="G142" s="4" t="s">
        <v>804</v>
      </c>
      <c r="H142" s="4" t="s">
        <v>805</v>
      </c>
      <c r="I142" s="7" t="s">
        <v>74</v>
      </c>
      <c r="J142" s="4" t="s">
        <v>806</v>
      </c>
    </row>
    <row r="143" ht="15.75" customHeight="1">
      <c r="A143" s="4" t="s">
        <v>807</v>
      </c>
      <c r="B143" s="4" t="s">
        <v>808</v>
      </c>
      <c r="C143" s="3" t="s">
        <v>112</v>
      </c>
      <c r="D143" s="4" t="s">
        <v>809</v>
      </c>
      <c r="E143" s="4" t="s">
        <v>810</v>
      </c>
      <c r="F143" s="4" t="s">
        <v>811</v>
      </c>
      <c r="G143" s="4" t="s">
        <v>812</v>
      </c>
      <c r="H143" s="4" t="s">
        <v>25</v>
      </c>
      <c r="I143" s="7" t="s">
        <v>74</v>
      </c>
      <c r="J143" s="4" t="s">
        <v>813</v>
      </c>
    </row>
    <row r="144" ht="15.75" customHeight="1">
      <c r="A144" s="4" t="s">
        <v>814</v>
      </c>
      <c r="B144" s="4" t="s">
        <v>692</v>
      </c>
      <c r="C144" s="3" t="s">
        <v>112</v>
      </c>
      <c r="D144" s="4" t="s">
        <v>815</v>
      </c>
      <c r="E144" s="4" t="s">
        <v>816</v>
      </c>
      <c r="F144" s="4" t="s">
        <v>817</v>
      </c>
      <c r="G144" s="4" t="s">
        <v>818</v>
      </c>
      <c r="H144" s="4" t="s">
        <v>358</v>
      </c>
      <c r="I144" s="7" t="s">
        <v>74</v>
      </c>
      <c r="J144" s="4"/>
    </row>
    <row r="145" ht="15.75" customHeight="1">
      <c r="A145" s="4" t="s">
        <v>814</v>
      </c>
      <c r="B145" s="4" t="s">
        <v>819</v>
      </c>
      <c r="C145" s="3" t="s">
        <v>112</v>
      </c>
      <c r="D145" s="4" t="s">
        <v>820</v>
      </c>
      <c r="E145" s="4" t="s">
        <v>821</v>
      </c>
      <c r="F145" s="4" t="s">
        <v>822</v>
      </c>
      <c r="G145" s="4" t="s">
        <v>823</v>
      </c>
      <c r="H145" s="4" t="s">
        <v>824</v>
      </c>
      <c r="I145" s="7" t="s">
        <v>74</v>
      </c>
      <c r="J145" s="4" t="s">
        <v>825</v>
      </c>
    </row>
    <row r="146" ht="15.75" customHeight="1">
      <c r="A146" s="4" t="s">
        <v>826</v>
      </c>
      <c r="B146" s="4" t="s">
        <v>748</v>
      </c>
      <c r="C146" s="3" t="s">
        <v>112</v>
      </c>
      <c r="D146" s="4" t="s">
        <v>827</v>
      </c>
      <c r="E146" s="4" t="s">
        <v>828</v>
      </c>
      <c r="F146" s="4" t="s">
        <v>829</v>
      </c>
      <c r="G146" s="4" t="s">
        <v>830</v>
      </c>
      <c r="H146" s="4" t="s">
        <v>831</v>
      </c>
      <c r="I146" s="7" t="s">
        <v>74</v>
      </c>
      <c r="J146" s="4" t="s">
        <v>832</v>
      </c>
    </row>
    <row r="147" ht="15.75" customHeight="1">
      <c r="A147" s="4" t="s">
        <v>826</v>
      </c>
      <c r="B147" s="4" t="s">
        <v>719</v>
      </c>
      <c r="C147" s="3" t="s">
        <v>112</v>
      </c>
      <c r="D147" s="4" t="s">
        <v>833</v>
      </c>
      <c r="E147" s="4" t="s">
        <v>834</v>
      </c>
      <c r="F147" s="4" t="s">
        <v>835</v>
      </c>
      <c r="G147" s="4" t="s">
        <v>836</v>
      </c>
      <c r="H147" s="4" t="s">
        <v>837</v>
      </c>
      <c r="I147" s="7" t="s">
        <v>74</v>
      </c>
      <c r="J147" s="4" t="s">
        <v>838</v>
      </c>
    </row>
    <row r="148" ht="15.75" customHeight="1">
      <c r="A148" s="4" t="s">
        <v>709</v>
      </c>
      <c r="B148" s="4" t="s">
        <v>692</v>
      </c>
      <c r="C148" s="3" t="s">
        <v>112</v>
      </c>
      <c r="D148" s="4" t="s">
        <v>839</v>
      </c>
      <c r="E148" s="4" t="s">
        <v>840</v>
      </c>
      <c r="F148" s="4" t="s">
        <v>841</v>
      </c>
      <c r="G148" s="4" t="s">
        <v>842</v>
      </c>
      <c r="H148" s="4" t="s">
        <v>516</v>
      </c>
      <c r="I148" s="7" t="s">
        <v>74</v>
      </c>
      <c r="J148" s="4"/>
    </row>
    <row r="149" ht="15.75" customHeight="1">
      <c r="A149" s="4" t="s">
        <v>709</v>
      </c>
      <c r="B149" s="4" t="s">
        <v>843</v>
      </c>
      <c r="C149" s="3" t="s">
        <v>112</v>
      </c>
      <c r="D149" s="4" t="s">
        <v>844</v>
      </c>
      <c r="E149" s="4" t="s">
        <v>845</v>
      </c>
      <c r="F149" s="4" t="s">
        <v>846</v>
      </c>
      <c r="G149" s="4" t="s">
        <v>847</v>
      </c>
      <c r="H149" s="4" t="s">
        <v>188</v>
      </c>
      <c r="I149" s="7" t="s">
        <v>74</v>
      </c>
      <c r="J149" s="4"/>
    </row>
    <row r="150" ht="15.75" customHeight="1">
      <c r="A150" s="4" t="s">
        <v>848</v>
      </c>
      <c r="B150" s="4" t="s">
        <v>692</v>
      </c>
      <c r="C150" s="3" t="s">
        <v>112</v>
      </c>
      <c r="D150" s="4" t="s">
        <v>849</v>
      </c>
      <c r="E150" s="4" t="s">
        <v>850</v>
      </c>
      <c r="F150" s="4" t="s">
        <v>851</v>
      </c>
      <c r="G150" s="4" t="s">
        <v>852</v>
      </c>
      <c r="H150" s="4" t="s">
        <v>421</v>
      </c>
      <c r="I150" s="7" t="s">
        <v>74</v>
      </c>
      <c r="J150" s="4"/>
    </row>
    <row r="151" ht="15.75" customHeight="1">
      <c r="A151" s="4" t="s">
        <v>848</v>
      </c>
      <c r="B151" s="4" t="s">
        <v>692</v>
      </c>
      <c r="C151" s="3" t="s">
        <v>112</v>
      </c>
      <c r="D151" s="4" t="s">
        <v>853</v>
      </c>
      <c r="E151" s="4" t="s">
        <v>854</v>
      </c>
      <c r="F151" s="4" t="s">
        <v>855</v>
      </c>
      <c r="G151" s="4" t="s">
        <v>856</v>
      </c>
      <c r="H151" s="4" t="s">
        <v>403</v>
      </c>
      <c r="I151" s="7" t="s">
        <v>74</v>
      </c>
      <c r="J151" s="4"/>
    </row>
    <row r="152" ht="15.75" customHeight="1">
      <c r="A152" s="4" t="s">
        <v>714</v>
      </c>
      <c r="B152" s="4" t="s">
        <v>704</v>
      </c>
      <c r="C152" s="3" t="s">
        <v>112</v>
      </c>
      <c r="D152" s="4" t="s">
        <v>857</v>
      </c>
      <c r="E152" s="4" t="s">
        <v>858</v>
      </c>
      <c r="F152" s="4" t="s">
        <v>859</v>
      </c>
      <c r="G152" s="4" t="s">
        <v>860</v>
      </c>
      <c r="H152" s="4" t="s">
        <v>195</v>
      </c>
      <c r="I152" s="7" t="s">
        <v>74</v>
      </c>
      <c r="J152" s="4" t="s">
        <v>861</v>
      </c>
    </row>
    <row r="153" ht="15.75" customHeight="1">
      <c r="A153" s="4" t="s">
        <v>718</v>
      </c>
      <c r="B153" s="4" t="s">
        <v>862</v>
      </c>
      <c r="C153" s="3" t="s">
        <v>112</v>
      </c>
      <c r="D153" s="4" t="s">
        <v>863</v>
      </c>
      <c r="E153" s="4" t="s">
        <v>864</v>
      </c>
      <c r="F153" s="4" t="s">
        <v>865</v>
      </c>
      <c r="G153" s="4" t="s">
        <v>866</v>
      </c>
      <c r="H153" s="4" t="s">
        <v>358</v>
      </c>
      <c r="I153" s="7" t="s">
        <v>74</v>
      </c>
      <c r="J153" s="4"/>
    </row>
    <row r="154" ht="15.75" customHeight="1">
      <c r="A154" s="4" t="s">
        <v>867</v>
      </c>
      <c r="B154" s="4" t="s">
        <v>719</v>
      </c>
      <c r="C154" s="3" t="s">
        <v>112</v>
      </c>
      <c r="D154" s="4" t="s">
        <v>868</v>
      </c>
      <c r="E154" s="4" t="s">
        <v>869</v>
      </c>
      <c r="F154" s="4" t="s">
        <v>870</v>
      </c>
      <c r="G154" s="4" t="s">
        <v>871</v>
      </c>
      <c r="H154" s="4" t="s">
        <v>309</v>
      </c>
      <c r="I154" s="7" t="s">
        <v>74</v>
      </c>
      <c r="J154" s="4" t="s">
        <v>872</v>
      </c>
    </row>
    <row r="155" ht="15.75" customHeight="1">
      <c r="A155" s="4" t="s">
        <v>873</v>
      </c>
      <c r="B155" s="4" t="s">
        <v>704</v>
      </c>
      <c r="C155" s="3" t="s">
        <v>112</v>
      </c>
      <c r="D155" s="4" t="s">
        <v>874</v>
      </c>
      <c r="E155" s="4" t="s">
        <v>875</v>
      </c>
      <c r="F155" s="4" t="s">
        <v>876</v>
      </c>
      <c r="G155" s="4" t="s">
        <v>877</v>
      </c>
      <c r="H155" s="4" t="s">
        <v>878</v>
      </c>
      <c r="I155" s="7" t="s">
        <v>74</v>
      </c>
      <c r="J155" s="4"/>
    </row>
    <row r="156" ht="15.75" customHeight="1">
      <c r="A156" s="4" t="s">
        <v>879</v>
      </c>
      <c r="B156" s="4" t="s">
        <v>704</v>
      </c>
      <c r="C156" s="3" t="s">
        <v>112</v>
      </c>
      <c r="D156" s="4" t="s">
        <v>880</v>
      </c>
      <c r="E156" s="4" t="s">
        <v>881</v>
      </c>
      <c r="F156" s="4" t="s">
        <v>882</v>
      </c>
      <c r="G156" s="4" t="s">
        <v>883</v>
      </c>
      <c r="H156" s="4" t="s">
        <v>884</v>
      </c>
      <c r="I156" s="7" t="s">
        <v>74</v>
      </c>
      <c r="J156" s="4" t="s">
        <v>885</v>
      </c>
    </row>
    <row r="157" ht="15.75" customHeight="1">
      <c r="A157" s="4" t="s">
        <v>886</v>
      </c>
      <c r="B157" s="4" t="s">
        <v>704</v>
      </c>
      <c r="C157" s="3" t="s">
        <v>112</v>
      </c>
      <c r="D157" s="4" t="s">
        <v>887</v>
      </c>
      <c r="E157" s="4" t="s">
        <v>888</v>
      </c>
      <c r="F157" s="4" t="s">
        <v>889</v>
      </c>
      <c r="G157" s="4" t="s">
        <v>890</v>
      </c>
      <c r="H157" s="4" t="s">
        <v>891</v>
      </c>
      <c r="I157" s="7" t="s">
        <v>74</v>
      </c>
      <c r="J157" s="4"/>
    </row>
    <row r="158" ht="15.75" customHeight="1">
      <c r="A158" s="4" t="s">
        <v>886</v>
      </c>
      <c r="B158" s="4" t="s">
        <v>692</v>
      </c>
      <c r="C158" s="3" t="s">
        <v>112</v>
      </c>
      <c r="D158" s="4" t="s">
        <v>892</v>
      </c>
      <c r="E158" s="4" t="s">
        <v>893</v>
      </c>
      <c r="F158" s="4" t="s">
        <v>894</v>
      </c>
      <c r="G158" s="4" t="s">
        <v>895</v>
      </c>
      <c r="H158" s="4" t="s">
        <v>195</v>
      </c>
      <c r="I158" s="7" t="s">
        <v>74</v>
      </c>
      <c r="J158" s="4"/>
    </row>
    <row r="159" ht="15.75" customHeight="1">
      <c r="A159" s="4" t="s">
        <v>896</v>
      </c>
      <c r="B159" s="4" t="s">
        <v>20</v>
      </c>
      <c r="C159" s="3" t="s">
        <v>112</v>
      </c>
      <c r="D159" s="4" t="s">
        <v>897</v>
      </c>
      <c r="E159" s="4" t="s">
        <v>898</v>
      </c>
      <c r="F159" s="4" t="s">
        <v>899</v>
      </c>
      <c r="G159" s="4" t="s">
        <v>900</v>
      </c>
      <c r="H159" s="4" t="s">
        <v>231</v>
      </c>
      <c r="I159" s="7" t="s">
        <v>74</v>
      </c>
      <c r="J159" s="4"/>
    </row>
    <row r="160" ht="15.75" customHeight="1">
      <c r="A160" s="4" t="s">
        <v>901</v>
      </c>
      <c r="B160" s="4" t="s">
        <v>902</v>
      </c>
      <c r="C160" s="3" t="s">
        <v>112</v>
      </c>
      <c r="D160" s="4" t="s">
        <v>903</v>
      </c>
      <c r="E160" s="4" t="s">
        <v>904</v>
      </c>
      <c r="F160" s="4" t="s">
        <v>905</v>
      </c>
      <c r="G160" s="4" t="s">
        <v>906</v>
      </c>
      <c r="H160" s="4" t="s">
        <v>907</v>
      </c>
      <c r="I160" s="7" t="s">
        <v>74</v>
      </c>
      <c r="J160" s="4" t="s">
        <v>908</v>
      </c>
    </row>
    <row r="161" ht="15.75" customHeight="1">
      <c r="A161" s="4" t="s">
        <v>736</v>
      </c>
      <c r="B161" s="4" t="s">
        <v>692</v>
      </c>
      <c r="C161" s="3" t="s">
        <v>112</v>
      </c>
      <c r="D161" s="4" t="s">
        <v>909</v>
      </c>
      <c r="E161" s="4" t="s">
        <v>910</v>
      </c>
      <c r="F161" s="4" t="s">
        <v>911</v>
      </c>
      <c r="G161" s="4" t="s">
        <v>912</v>
      </c>
      <c r="H161" s="4" t="s">
        <v>195</v>
      </c>
      <c r="I161" s="7" t="s">
        <v>74</v>
      </c>
      <c r="J161" s="4"/>
    </row>
    <row r="162" ht="15.75" customHeight="1">
      <c r="A162" s="4" t="s">
        <v>747</v>
      </c>
      <c r="B162" s="4" t="s">
        <v>692</v>
      </c>
      <c r="C162" s="3" t="s">
        <v>112</v>
      </c>
      <c r="D162" s="4" t="s">
        <v>913</v>
      </c>
      <c r="E162" s="4" t="s">
        <v>914</v>
      </c>
      <c r="F162" s="4" t="s">
        <v>915</v>
      </c>
      <c r="G162" s="4" t="s">
        <v>916</v>
      </c>
      <c r="H162" s="4" t="s">
        <v>403</v>
      </c>
      <c r="I162" s="7" t="s">
        <v>74</v>
      </c>
      <c r="J162" s="4"/>
    </row>
    <row r="163" ht="15.75" customHeight="1">
      <c r="A163" s="4" t="s">
        <v>754</v>
      </c>
      <c r="B163" s="4" t="s">
        <v>704</v>
      </c>
      <c r="C163" s="3" t="s">
        <v>112</v>
      </c>
      <c r="D163" s="4" t="s">
        <v>917</v>
      </c>
      <c r="E163" s="4" t="s">
        <v>918</v>
      </c>
      <c r="F163" s="4" t="s">
        <v>919</v>
      </c>
      <c r="G163" s="4" t="s">
        <v>920</v>
      </c>
      <c r="H163" s="4" t="s">
        <v>129</v>
      </c>
      <c r="I163" s="7" t="s">
        <v>74</v>
      </c>
      <c r="J163" s="4"/>
    </row>
    <row r="164" ht="15.75" customHeight="1">
      <c r="A164" s="4" t="s">
        <v>921</v>
      </c>
      <c r="B164" s="4" t="s">
        <v>692</v>
      </c>
      <c r="C164" s="3" t="s">
        <v>112</v>
      </c>
      <c r="D164" s="4" t="s">
        <v>922</v>
      </c>
      <c r="E164" s="4" t="s">
        <v>923</v>
      </c>
      <c r="F164" s="4" t="s">
        <v>924</v>
      </c>
      <c r="G164" s="4" t="s">
        <v>925</v>
      </c>
      <c r="H164" s="4" t="s">
        <v>926</v>
      </c>
      <c r="I164" s="7" t="s">
        <v>74</v>
      </c>
      <c r="J164" s="4"/>
    </row>
    <row r="165" ht="15.75" customHeight="1">
      <c r="A165" s="4" t="s">
        <v>771</v>
      </c>
      <c r="B165" s="4" t="s">
        <v>927</v>
      </c>
      <c r="C165" s="3" t="s">
        <v>112</v>
      </c>
      <c r="D165" s="4" t="s">
        <v>928</v>
      </c>
      <c r="E165" s="4" t="s">
        <v>929</v>
      </c>
      <c r="F165" s="4" t="s">
        <v>930</v>
      </c>
      <c r="G165" s="4" t="s">
        <v>931</v>
      </c>
      <c r="H165" s="4" t="s">
        <v>932</v>
      </c>
      <c r="I165" s="7" t="s">
        <v>74</v>
      </c>
      <c r="J165" s="4"/>
    </row>
    <row r="166" ht="15.75" customHeight="1">
      <c r="A166" s="4" t="s">
        <v>933</v>
      </c>
      <c r="B166" s="4" t="s">
        <v>704</v>
      </c>
      <c r="C166" s="3" t="s">
        <v>112</v>
      </c>
      <c r="D166" s="4" t="s">
        <v>934</v>
      </c>
      <c r="E166" s="4" t="s">
        <v>935</v>
      </c>
      <c r="F166" s="4" t="s">
        <v>936</v>
      </c>
      <c r="G166" s="4" t="s">
        <v>937</v>
      </c>
      <c r="H166" s="4" t="s">
        <v>358</v>
      </c>
      <c r="I166" s="7" t="s">
        <v>74</v>
      </c>
      <c r="J166" s="4" t="s">
        <v>938</v>
      </c>
    </row>
    <row r="167" ht="15.75" customHeight="1">
      <c r="A167" s="4" t="s">
        <v>776</v>
      </c>
      <c r="B167" s="4" t="s">
        <v>692</v>
      </c>
      <c r="C167" s="3" t="s">
        <v>112</v>
      </c>
      <c r="D167" s="4" t="s">
        <v>939</v>
      </c>
      <c r="E167" s="4" t="s">
        <v>940</v>
      </c>
      <c r="F167" s="4" t="s">
        <v>941</v>
      </c>
      <c r="G167" s="4" t="s">
        <v>942</v>
      </c>
      <c r="H167" s="4" t="s">
        <v>195</v>
      </c>
      <c r="I167" s="7" t="s">
        <v>74</v>
      </c>
      <c r="J167" s="4"/>
    </row>
    <row r="168" ht="15.75" customHeight="1">
      <c r="A168" s="4" t="s">
        <v>943</v>
      </c>
      <c r="B168" s="4" t="s">
        <v>748</v>
      </c>
      <c r="C168" s="3" t="s">
        <v>112</v>
      </c>
      <c r="D168" s="4" t="s">
        <v>944</v>
      </c>
      <c r="E168" s="4" t="s">
        <v>945</v>
      </c>
      <c r="F168" s="4" t="s">
        <v>946</v>
      </c>
      <c r="G168" s="4" t="s">
        <v>947</v>
      </c>
      <c r="H168" s="4" t="s">
        <v>948</v>
      </c>
      <c r="I168" s="7" t="s">
        <v>74</v>
      </c>
      <c r="J168" s="4" t="s">
        <v>949</v>
      </c>
    </row>
    <row r="169" ht="15.75" customHeight="1">
      <c r="A169" s="4" t="s">
        <v>950</v>
      </c>
      <c r="B169" s="4" t="s">
        <v>951</v>
      </c>
      <c r="C169" s="3" t="s">
        <v>112</v>
      </c>
      <c r="D169" s="4" t="s">
        <v>952</v>
      </c>
      <c r="E169" s="4" t="s">
        <v>953</v>
      </c>
      <c r="F169" s="4" t="s">
        <v>954</v>
      </c>
      <c r="G169" s="4" t="s">
        <v>955</v>
      </c>
      <c r="H169" s="4" t="s">
        <v>956</v>
      </c>
      <c r="I169" s="8" t="s">
        <v>149</v>
      </c>
      <c r="J169" s="4" t="s">
        <v>957</v>
      </c>
    </row>
    <row r="170" ht="15.75" customHeight="1">
      <c r="A170" s="4" t="s">
        <v>958</v>
      </c>
      <c r="B170" s="4" t="s">
        <v>959</v>
      </c>
      <c r="C170" s="3" t="s">
        <v>112</v>
      </c>
      <c r="D170" s="2" t="s">
        <v>960</v>
      </c>
      <c r="E170" s="4" t="s">
        <v>961</v>
      </c>
      <c r="F170" s="4" t="s">
        <v>962</v>
      </c>
      <c r="G170" s="4" t="s">
        <v>963</v>
      </c>
      <c r="H170" s="4" t="s">
        <v>831</v>
      </c>
      <c r="I170" s="8" t="s">
        <v>149</v>
      </c>
      <c r="J170" s="4" t="s">
        <v>964</v>
      </c>
    </row>
    <row r="171" ht="15.75" customHeight="1">
      <c r="A171" s="4" t="s">
        <v>965</v>
      </c>
      <c r="B171" s="4" t="s">
        <v>692</v>
      </c>
      <c r="C171" s="3" t="s">
        <v>112</v>
      </c>
      <c r="D171" s="4" t="s">
        <v>966</v>
      </c>
      <c r="E171" s="4" t="s">
        <v>967</v>
      </c>
      <c r="F171" s="4" t="s">
        <v>968</v>
      </c>
      <c r="G171" s="4" t="s">
        <v>969</v>
      </c>
      <c r="H171" s="4" t="s">
        <v>337</v>
      </c>
      <c r="I171" s="8" t="s">
        <v>149</v>
      </c>
      <c r="J171" s="4"/>
    </row>
    <row r="172" ht="15.75" customHeight="1">
      <c r="A172" s="4" t="s">
        <v>970</v>
      </c>
      <c r="B172" s="4" t="s">
        <v>704</v>
      </c>
      <c r="C172" s="3" t="s">
        <v>112</v>
      </c>
      <c r="D172" s="4" t="s">
        <v>971</v>
      </c>
      <c r="E172" s="4" t="s">
        <v>972</v>
      </c>
      <c r="F172" s="4" t="s">
        <v>973</v>
      </c>
      <c r="G172" s="4" t="s">
        <v>974</v>
      </c>
      <c r="H172" s="4" t="s">
        <v>195</v>
      </c>
      <c r="I172" s="8" t="s">
        <v>149</v>
      </c>
      <c r="J172" s="4" t="s">
        <v>975</v>
      </c>
    </row>
    <row r="173" ht="15.75" customHeight="1">
      <c r="A173" s="4" t="s">
        <v>782</v>
      </c>
      <c r="B173" s="4" t="s">
        <v>20</v>
      </c>
      <c r="C173" s="3" t="s">
        <v>112</v>
      </c>
      <c r="D173" s="4" t="s">
        <v>976</v>
      </c>
      <c r="E173" s="4" t="s">
        <v>977</v>
      </c>
      <c r="F173" s="4" t="s">
        <v>978</v>
      </c>
      <c r="G173" s="4" t="s">
        <v>979</v>
      </c>
      <c r="H173" s="4" t="s">
        <v>25</v>
      </c>
      <c r="I173" s="8" t="s">
        <v>149</v>
      </c>
      <c r="J173" s="4"/>
    </row>
    <row r="174" ht="15.75" customHeight="1">
      <c r="A174" s="4" t="s">
        <v>980</v>
      </c>
      <c r="B174" s="2" t="s">
        <v>981</v>
      </c>
      <c r="C174" s="3" t="s">
        <v>12</v>
      </c>
      <c r="D174" s="2" t="s">
        <v>982</v>
      </c>
      <c r="E174" s="2" t="s">
        <v>983</v>
      </c>
      <c r="F174" s="2" t="s">
        <v>984</v>
      </c>
      <c r="G174" s="2" t="s">
        <v>985</v>
      </c>
      <c r="H174" s="4" t="s">
        <v>195</v>
      </c>
      <c r="I174" s="7" t="s">
        <v>74</v>
      </c>
      <c r="J174" s="2" t="s">
        <v>986</v>
      </c>
    </row>
    <row r="175" ht="15.75" customHeight="1">
      <c r="A175" s="4" t="s">
        <v>987</v>
      </c>
      <c r="B175" s="2" t="s">
        <v>988</v>
      </c>
      <c r="C175" s="3" t="s">
        <v>12</v>
      </c>
      <c r="D175" s="2" t="s">
        <v>989</v>
      </c>
      <c r="E175" s="2" t="s">
        <v>990</v>
      </c>
      <c r="F175" s="2" t="s">
        <v>991</v>
      </c>
      <c r="G175" s="2" t="s">
        <v>992</v>
      </c>
      <c r="H175" s="4" t="s">
        <v>195</v>
      </c>
      <c r="I175" s="8" t="s">
        <v>149</v>
      </c>
      <c r="J175" s="4"/>
    </row>
    <row r="176" ht="15.75" customHeight="1">
      <c r="A176" s="4" t="s">
        <v>993</v>
      </c>
      <c r="B176" s="4" t="s">
        <v>994</v>
      </c>
      <c r="C176" s="3" t="s">
        <v>112</v>
      </c>
      <c r="D176" s="4" t="s">
        <v>995</v>
      </c>
      <c r="E176" s="4" t="s">
        <v>996</v>
      </c>
      <c r="F176" s="4" t="s">
        <v>997</v>
      </c>
      <c r="G176" s="4" t="s">
        <v>998</v>
      </c>
      <c r="H176" s="4" t="s">
        <v>195</v>
      </c>
      <c r="I176" s="5" t="s">
        <v>18</v>
      </c>
      <c r="J176" s="4"/>
    </row>
    <row r="177" ht="15.75" customHeight="1">
      <c r="A177" s="2" t="s">
        <v>999</v>
      </c>
      <c r="B177" s="2" t="s">
        <v>1000</v>
      </c>
      <c r="C177" s="3" t="s">
        <v>12</v>
      </c>
      <c r="D177" s="2" t="s">
        <v>1001</v>
      </c>
      <c r="E177" s="2" t="s">
        <v>1002</v>
      </c>
      <c r="F177" s="2" t="s">
        <v>1003</v>
      </c>
      <c r="G177" s="2" t="s">
        <v>1004</v>
      </c>
      <c r="H177" s="4" t="s">
        <v>156</v>
      </c>
      <c r="I177" s="5" t="s">
        <v>18</v>
      </c>
      <c r="J177" s="2" t="s">
        <v>1005</v>
      </c>
    </row>
    <row r="178" ht="15.75" customHeight="1">
      <c r="A178" s="2" t="s">
        <v>1006</v>
      </c>
      <c r="B178" s="2" t="s">
        <v>1007</v>
      </c>
      <c r="C178" s="3" t="s">
        <v>12</v>
      </c>
      <c r="D178" s="2" t="s">
        <v>1008</v>
      </c>
      <c r="E178" s="2" t="s">
        <v>1009</v>
      </c>
      <c r="F178" s="2" t="s">
        <v>1010</v>
      </c>
      <c r="G178" s="2" t="s">
        <v>1011</v>
      </c>
      <c r="H178" s="4" t="s">
        <v>59</v>
      </c>
      <c r="I178" s="7" t="s">
        <v>74</v>
      </c>
      <c r="J178" s="2" t="s">
        <v>1012</v>
      </c>
    </row>
    <row r="179" ht="15.75" customHeight="1">
      <c r="A179" s="4" t="s">
        <v>1013</v>
      </c>
      <c r="B179" s="4" t="s">
        <v>1014</v>
      </c>
      <c r="C179" s="3" t="s">
        <v>112</v>
      </c>
      <c r="D179" s="4" t="s">
        <v>1015</v>
      </c>
      <c r="E179" s="4" t="s">
        <v>1016</v>
      </c>
      <c r="F179" s="4" t="s">
        <v>1017</v>
      </c>
      <c r="G179" s="4" t="s">
        <v>1018</v>
      </c>
      <c r="H179" s="4" t="s">
        <v>956</v>
      </c>
      <c r="I179" s="7" t="s">
        <v>74</v>
      </c>
      <c r="J179" s="4" t="s">
        <v>1019</v>
      </c>
    </row>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179"/>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24.0"/>
    <col customWidth="1" min="2" max="2" width="14.0"/>
    <col customWidth="1" min="3" max="26" width="8.71"/>
  </cols>
  <sheetData>
    <row r="1">
      <c r="A1" s="9" t="s">
        <v>1020</v>
      </c>
    </row>
    <row r="3">
      <c r="A3" s="10" t="s">
        <v>1021</v>
      </c>
      <c r="B3" s="11">
        <f>COUNTA(Comparison!A2:A179)</f>
        <v>178</v>
      </c>
    </row>
    <row r="4">
      <c r="A4" s="10" t="s">
        <v>1022</v>
      </c>
      <c r="B4" s="11">
        <f>COUNTIF(Comparison!I2:I179,"High")</f>
        <v>81</v>
      </c>
    </row>
    <row r="5">
      <c r="A5" s="10" t="s">
        <v>1023</v>
      </c>
      <c r="B5" s="11">
        <f>COUNTIF(Comparison!I2:I179,"Medium")</f>
        <v>84</v>
      </c>
    </row>
    <row r="6">
      <c r="A6" s="10" t="s">
        <v>1024</v>
      </c>
      <c r="B6" s="11">
        <f>COUNTIF(Comparison!I2:I179,"Low")</f>
        <v>13</v>
      </c>
    </row>
    <row r="7">
      <c r="A7" s="10" t="s">
        <v>1025</v>
      </c>
      <c r="B7" s="11">
        <f>COUNTIF(Comparison!C2:C179,"HE")</f>
        <v>91</v>
      </c>
    </row>
    <row r="8">
      <c r="A8" s="10" t="s">
        <v>1026</v>
      </c>
      <c r="B8" s="11">
        <f>COUNTIF(Comparison!C2:C179,"EN")</f>
        <v>87</v>
      </c>
    </row>
    <row r="10">
      <c r="A10" s="12" t="s">
        <v>1027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